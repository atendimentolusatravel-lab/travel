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de Pagamentos" sheetId="1" state="visible" r:id="rId3"/>
  </sheets>
  <definedNames>
    <definedName function="false" hidden="true" localSheetId="0" name="_xlnm._FilterDatabase" vbProcedure="false">'Quadro de Pagamentos'!$A$3:$E$10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<sst xmlns="http://schemas.openxmlformats.org/spreadsheetml/2006/main" count="26" uniqueCount="22">
  <si>
    <t xml:space="preserve">Quadro de Pagamentos</t>
  </si>
  <si>
    <t xml:space="preserve">Descrição</t>
  </si>
  <si>
    <t xml:space="preserve">Forma</t>
  </si>
  <si>
    <t xml:space="preserve">Parcelas</t>
  </si>
  <si>
    <t xml:space="preserve">Vencimento</t>
  </si>
  <si>
    <t xml:space="preserve">Valor (R$)</t>
  </si>
  <si>
    <t xml:space="preserve">NH BUENOS AIRES FLORIDA</t>
  </si>
  <si>
    <t xml:space="preserve">[Dinheiro]</t>
  </si>
  <si>
    <t xml:space="preserve">HOTEL CARLOS V PATAGONIA- BARILOCHE</t>
  </si>
  <si>
    <t xml:space="preserve">AEREO AEROLINEAS</t>
  </si>
  <si>
    <t xml:space="preserve">[Cartão de Crédito]</t>
  </si>
  <si>
    <t xml:space="preserve">TRANSFER BARILOCHE - CARLOS V PATAGONIA</t>
  </si>
  <si>
    <t xml:space="preserve">TRANSFER - IN/OUT HOTEL CATEDRAL</t>
  </si>
  <si>
    <t xml:space="preserve">TRANSFERBUENOS AIRES IN/OUT</t>
  </si>
  <si>
    <t xml:space="preserve">HOTEL CATEDRAL SKI</t>
  </si>
  <si>
    <t xml:space="preserve">[Pix]</t>
  </si>
  <si>
    <t xml:space="preserve">Total</t>
  </si>
  <si>
    <t xml:space="preserve">Resumo por forma de pagamento</t>
  </si>
  <si>
    <t xml:space="preserve">Dinheiro</t>
  </si>
  <si>
    <t xml:space="preserve">Cartão de Crédito</t>
  </si>
  <si>
    <t xml:space="preserve">Pix</t>
  </si>
  <si>
    <t xml:space="preserve">Fonte: quadro de pagamentos informado pelo cliente. Valores em BRL (R$).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</si>
</sst>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;\-#,##0.0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08D57"/>
        <bgColor rgb="FF808080"/>
      </patternFill>
    </fill>
    <fill>
      <patternFill patternType="solid">
        <fgColor rgb="FFF5F5F5"/>
        <bgColor rgb="FFFFFFFF"/>
      </patternFill>
    </fill>
    <fill>
      <patternFill patternType="solid">
        <fgColor rgb="FFEDE3D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B08D5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08D57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E3D3"/>
      <rgbColor rgb="FF3366FF"/>
      <rgbColor rgb="FF33CCCC"/>
      <rgbColor rgb="FF99CC00"/>
      <rgbColor rgb="FFFFCC00"/>
      <rgbColor rgb="FFFF9900"/>
      <rgbColor rgb="FFFF6600"/>
      <rgbColor rgb="FF666699"/>
      <rgbColor rgb="FFB08D5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4" t="s">
        <v>5</v>
      </c>
    </row>
    <row r="4" customFormat="false" ht="19.5" hidden="false" customHeight="true" outlineLevel="0" collapsed="false">
      <c r="A4" s="5" t="s">
        <v>6</v>
      </c>
      <c r="B4" s="5" t="s">
        <v>7</v>
      </c>
      <c r="C4" s="6" t="n">
        <v>1</v>
      </c>
      <c r="D4" s="7" t="n">
        <v>46213</v>
      </c>
      <c r="E4" s="8" t="n">
        <v>4001.5</v>
      </c>
    </row>
    <row r="5" customFormat="false" ht="19.5" hidden="false" customHeight="true" outlineLevel="0" collapsed="false">
      <c r="A5" s="9" t="s">
        <v>8</v>
      </c>
      <c r="B5" s="9" t="s">
        <v>7</v>
      </c>
      <c r="C5" s="10" t="n">
        <v>1</v>
      </c>
      <c r="D5" s="11" t="n">
        <v>46213</v>
      </c>
      <c r="E5" s="12" t="n">
        <v>1775.68</v>
      </c>
    </row>
    <row r="6" customFormat="false" ht="19.5" hidden="false" customHeight="true" outlineLevel="0" collapsed="false">
      <c r="A6" s="5" t="s">
        <v>9</v>
      </c>
      <c r="B6" s="5" t="s">
        <v>10</v>
      </c>
      <c r="C6" s="6" t="n">
        <v>1</v>
      </c>
      <c r="D6" s="7" t="n">
        <v>46213</v>
      </c>
      <c r="E6" s="8" t="n">
        <v>16533.28</v>
      </c>
    </row>
    <row r="7" customFormat="false" ht="19.5" hidden="false" customHeight="true" outlineLevel="0" collapsed="false">
      <c r="A7" s="9" t="s">
        <v>11</v>
      </c>
      <c r="B7" s="9" t="s">
        <v>7</v>
      </c>
      <c r="C7" s="10" t="n">
        <v>1</v>
      </c>
      <c r="D7" s="11" t="n">
        <v>46240</v>
      </c>
      <c r="E7" s="12" t="n">
        <v>393</v>
      </c>
    </row>
    <row r="8" customFormat="false" ht="19.5" hidden="false" customHeight="true" outlineLevel="0" collapsed="false">
      <c r="A8" s="5" t="s">
        <v>12</v>
      </c>
      <c r="B8" s="5" t="s">
        <v>7</v>
      </c>
      <c r="C8" s="6" t="n">
        <v>1</v>
      </c>
      <c r="D8" s="7" t="n">
        <v>46213</v>
      </c>
      <c r="E8" s="8" t="n">
        <v>1855</v>
      </c>
    </row>
    <row r="9" customFormat="false" ht="19.5" hidden="false" customHeight="true" outlineLevel="0" collapsed="false">
      <c r="A9" s="9" t="s">
        <v>13</v>
      </c>
      <c r="B9" s="9" t="s">
        <v>7</v>
      </c>
      <c r="C9" s="10" t="n">
        <v>1</v>
      </c>
      <c r="D9" s="11" t="n">
        <v>46213</v>
      </c>
      <c r="E9" s="12" t="n">
        <v>527</v>
      </c>
    </row>
    <row r="10" customFormat="false" ht="19.5" hidden="false" customHeight="true" outlineLevel="0" collapsed="false">
      <c r="A10" s="5" t="s">
        <v>14</v>
      </c>
      <c r="B10" s="5" t="s">
        <v>15</v>
      </c>
      <c r="C10" s="6" t="n">
        <v>1</v>
      </c>
      <c r="D10" s="7" t="n">
        <v>46213</v>
      </c>
      <c r="E10" s="8" t="n">
        <v>44754</v>
      </c>
    </row>
    <row r="11" customFormat="false" ht="21.75" hidden="false" customHeight="true" outlineLevel="0" collapsed="false">
      <c r="A11" s="13" t="s">
        <v>16</v>
      </c>
      <c r="B11" s="13"/>
      <c r="C11" s="13"/>
      <c r="D11" s="13"/>
      <c r="E11" s="14" t="n">
        <f aca="false">SUM(E4:E10)</f>
        <v>69839.46</v>
      </c>
    </row>
    <row r="14" customFormat="false" ht="15" hidden="false" customHeight="false" outlineLevel="0" collapsed="false">
      <c r="A14" s="15" t="s">
        <v>17</v>
      </c>
    </row>
    <row r="15" customFormat="false" ht="15" hidden="false" customHeight="false" outlineLevel="0" collapsed="false">
      <c r="A15" s="16" t="s">
        <v>18</v>
      </c>
      <c r="E15" s="17" t="n">
        <f aca="false">SUMIF($B$4:$B$10,"[Dinheiro]",$E$4:$E$10)</f>
        <v>8552.18</v>
      </c>
    </row>
    <row r="16" customFormat="false" ht="15" hidden="false" customHeight="false" outlineLevel="0" collapsed="false">
      <c r="A16" s="16" t="s">
        <v>19</v>
      </c>
      <c r="E16" s="17" t="n">
        <f aca="false">SUMIF($B$4:$B$10,"[Cartão de Crédito]",$E$4:$E$10)</f>
        <v>16533.28</v>
      </c>
    </row>
    <row r="17" customFormat="false" ht="15" hidden="false" customHeight="false" outlineLevel="0" collapsed="false">
      <c r="A17" s="16" t="s">
        <v>20</v>
      </c>
      <c r="E17" s="17" t="n">
        <f aca="false">SUMIF($B$4:$B$10,"[Pix]",$E$4:$E$10)</f>
        <v>44754</v>
      </c>
    </row>
    <row r="19" customFormat="false" ht="15" hidden="false" customHeight="false" outlineLevel="0" collapsed="false">
      <c r="A19" s="18" t="s">
        <v>21</v>
      </c>
    </row>
  </sheetData>
  <autoFilter ref="A3:E10"/>
  <mergeCells count="1">
    <mergeCell ref="A1:E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2026-08-06T20:12:24Z</dcterms:created>
  <dc:creator>openpyxl</dc:creator>
  <dc:description/>
  <dc:language>en-US</dc:language>
  <cp:lastModifiedBy/>
  <dcterms:modified xsi:type="dcterms:W3CDTF">2026-08-06T20:12:24Z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