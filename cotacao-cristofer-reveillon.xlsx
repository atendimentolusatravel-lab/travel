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COUNTIF(Cotação!$B$5:$B$39,A5)</f>
        <v/>
      </c>
      <c r="C5" s="5">
        <f>COUNTIFS(Cotação!$B$5:$B$39,A5,Cotação!$O$5:$O$39,"A cotar")</f>
        <v/>
      </c>
      <c r="D5" s="5">
        <f>COUNTIFS(Cotação!$B$5:$B$39,A5,Cotação!$O$5:$O$39,"&lt;&gt;A cotar")</f>
        <v/>
      </c>
      <c r="E5" s="6">
        <f>SUMIF(Cotação!$B$5:$B$39,A5,Cotação!$N$5:$N$39)</f>
        <v/>
      </c>
    </row>
    <row r="6">
      <c r="A6" s="4" t="inlineStr">
        <is>
          <t>Hotel</t>
        </is>
      </c>
      <c r="B6" s="5">
        <f>COUNTIF(Cotação!$B$5:$B$39,A6)</f>
        <v/>
      </c>
      <c r="C6" s="5">
        <f>COUNTIFS(Cotação!$B$5:$B$39,A6,Cotação!$O$5:$O$39,"A cotar")</f>
        <v/>
      </c>
      <c r="D6" s="5">
        <f>COUNTIFS(Cotação!$B$5:$B$39,A6,Cotação!$O$5:$O$39,"&lt;&gt;A cotar")</f>
        <v/>
      </c>
      <c r="E6" s="6">
        <f>SUMIF(Cotação!$B$5:$B$39,A6,Cotação!$N$5:$N$39)</f>
        <v/>
      </c>
    </row>
    <row r="7">
      <c r="A7" s="4" t="inlineStr">
        <is>
          <t>Trem</t>
        </is>
      </c>
      <c r="B7" s="5">
        <f>COUNTIF(Cotação!$B$5:$B$39,A7)</f>
        <v/>
      </c>
      <c r="C7" s="5">
        <f>COUNTIFS(Cotação!$B$5:$B$39,A7,Cotação!$O$5:$O$39,"A cotar")</f>
        <v/>
      </c>
      <c r="D7" s="5">
        <f>COUNTIFS(Cotação!$B$5:$B$39,A7,Cotação!$O$5:$O$39,"&lt;&gt;A cotar")</f>
        <v/>
      </c>
      <c r="E7" s="6">
        <f>SUMIF(Cotação!$B$5:$B$39,A7,Cotação!$N$5:$N$39)</f>
        <v/>
      </c>
    </row>
    <row r="8">
      <c r="A8" s="4" t="inlineStr">
        <is>
          <t>Transfer</t>
        </is>
      </c>
      <c r="B8" s="5">
        <f>COUNTIF(Cotação!$B$5:$B$39,A8)</f>
        <v/>
      </c>
      <c r="C8" s="5">
        <f>COUNTIFS(Cotação!$B$5:$B$39,A8,Cotação!$O$5:$O$39,"A cotar")</f>
        <v/>
      </c>
      <c r="D8" s="5">
        <f>COUNTIFS(Cotação!$B$5:$B$39,A8,Cotação!$O$5:$O$39,"&lt;&gt;A cotar")</f>
        <v/>
      </c>
      <c r="E8" s="6">
        <f>SUMIF(Cotação!$B$5:$B$39,A8,Cotação!$N$5:$N$39)</f>
        <v/>
      </c>
    </row>
    <row r="9">
      <c r="A9" s="4" t="inlineStr">
        <is>
          <t>Experiência</t>
        </is>
      </c>
      <c r="B9" s="5">
        <f>COUNTIF(Cotação!$B$5:$B$39,A9)</f>
        <v/>
      </c>
      <c r="C9" s="5">
        <f>COUNTIFS(Cotação!$B$5:$B$39,A9,Cotação!$O$5:$O$39,"A cotar")</f>
        <v/>
      </c>
      <c r="D9" s="5">
        <f>COUNTIFS(Cotação!$B$5:$B$39,A9,Cotação!$O$5:$O$39,"&lt;&gt;A cotar")</f>
        <v/>
      </c>
      <c r="E9" s="6">
        <f>SUMIF(Cotação!$B$5:$B$39,A9,Cotação!$N$5:$N$39)</f>
        <v/>
      </c>
    </row>
    <row r="10">
      <c r="A10" s="4" t="inlineStr">
        <is>
          <t>Seguro/Docs</t>
        </is>
      </c>
      <c r="B10" s="5">
        <f>COUNTIF(Cotação!$B$5:$B$39,A10)</f>
        <v/>
      </c>
      <c r="C10" s="5">
        <f>COUNTIFS(Cotação!$B$5:$B$39,A10,Cotação!$O$5:$O$39,"A cotar")</f>
        <v/>
      </c>
      <c r="D10" s="5">
        <f>COUNTIFS(Cotação!$B$5:$B$39,A10,Cotação!$O$5:$O$39,"&lt;&gt;A cotar")</f>
        <v/>
      </c>
      <c r="E10" s="6">
        <f>SUMIF(Cotação!$B$5:$B$39,A10,Cotação!$N$5:$N$39)</f>
        <v/>
      </c>
    </row>
    <row r="11">
      <c r="A11" s="4" t="inlineStr">
        <is>
          <t>Outros</t>
        </is>
      </c>
      <c r="B11" s="5">
        <f>COUNTIF(Cotação!$B$5:$B$39,A11)</f>
        <v/>
      </c>
      <c r="C11" s="5">
        <f>COUNTIFS(Cotação!$B$5:$B$39,A11,Cotação!$O$5:$O$39,"A cotar")</f>
        <v/>
      </c>
      <c r="D11" s="5">
        <f>COUNTIFS(Cotação!$B$5:$B$39,A11,Cotação!$O$5:$O$39,"&lt;&gt;A cotar")</f>
        <v/>
      </c>
      <c r="E11" s="6">
        <f>SUMIF(Cotação!$B$5:$B$39,A11,Cotação!$N$5:$N$39)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de 20/09: R$ 41.637,56 total (USD 8.073,20) = R$ 10.409,39 por pax. Inclui Praga → Paris.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3 noites</t>
        </is>
      </c>
      <c r="E9" s="23" t="inlineStr">
        <is>
          <t>30/12 → 02/01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6300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3 noites calculadas proporcionalmente a partir da cotação de 4 noites (R$ 16.800 → R$ 12.600). Confirmar com o hotel na reserva.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3 noites</t>
        </is>
      </c>
      <c r="E10" s="23" t="inlineStr">
        <is>
          <t>30/12 → 02/01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5025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3 noites calculadas proporcionalmente a partir da cotação de 4 noites (R$ 13.400 → R$ 10.050). Confirmar com o hotel na reserva.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3 noites</t>
        </is>
      </c>
      <c r="E11" s="23" t="inlineStr">
        <is>
          <t>30/12 → 02/01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6517.5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3 noites calculadas proporcionalmente a partir da cotação de 4 noites (R$ 17.380 → R$ 13.035). Confirmar com o hotel na reserva.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Tokaj · Minaro Hotel Tokaj, MGallery 5★</t>
        </is>
      </c>
      <c r="D12" s="23" t="inlineStr">
        <is>
          <t>Tokaj, à beira do rio Bodrog, a 5 min da estação · 2 quartos Superior King duplos · café da manhã · 1 noite</t>
        </is>
      </c>
      <c r="E12" s="23" t="inlineStr">
        <is>
          <t>02/01 → 03/01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3330</v>
      </c>
      <c r="J12" s="25" t="n">
        <v>1</v>
      </c>
      <c r="K12" s="27">
        <f>IF(I12="","",I12*J12)</f>
        <v/>
      </c>
      <c r="L12" s="28" t="n"/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R$ 3.330 pelos 2 quartos, 1 noite. Substitui a 4ª noite de Budapeste (R$ 4.345 no InterContinental): a troca economiza R$ 1.015.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1 · Steigenberger Icon Herrenhof 5★</t>
        </is>
      </c>
      <c r="D13" s="23" t="inlineStr">
        <is>
          <t>Herrengasse, Innere Stadt, a 5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5910</v>
      </c>
      <c r="J13" s="25" t="n">
        <v>4</v>
      </c>
      <c r="K13" s="27">
        <f>IF(I13="","",I13*J13)</f>
        <v/>
      </c>
      <c r="L13" s="28" t="inlineStr">
        <is>
          <t>Booking 20/09: € 1.862 (≈ R$ 11.004) por 2 quartos standard/4 noites no mesmo hotel</t>
        </is>
      </c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R$ 15.300 + Superior Room R$ 8.340 = R$ 23.640 pelas 4 noites (R$ 5.910/noite). Junior Suite comporta 3: pais + filho a partir de 05/01, filhas no Superior. Sem cama extra.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Opção 2 · Radisson Blu Style Hotel 5★</t>
        </is>
      </c>
      <c r="D14" s="23" t="inlineStr">
        <is>
          <t>Herrengasse 12, Innere Stadt, design, a 3 min do Hofburg · 1 Junior Suite + 1 Superior Room · café da manhã · 4 noites</t>
        </is>
      </c>
      <c r="E14" s="23" t="inlineStr">
        <is>
          <t>03/01 → 07/01</t>
        </is>
      </c>
      <c r="F14" s="23" t="n">
        <v>4</v>
      </c>
      <c r="G14" s="25" t="inlineStr">
        <is>
          <t>Consolidador (a nomear)</t>
        </is>
      </c>
      <c r="H14" s="25" t="inlineStr">
        <is>
          <t>BRL</t>
        </is>
      </c>
      <c r="I14" s="26" t="n">
        <v>4768</v>
      </c>
      <c r="J14" s="25" t="n">
        <v>4</v>
      </c>
      <c r="K14" s="27">
        <f>IF(I14="","",I14*J14)</f>
        <v/>
      </c>
      <c r="L14" s="28" t="inlineStr">
        <is>
          <t>Booking 20/09: R$ 12.034 por 2 quartos standard/4 noites no mesmo hotel</t>
        </is>
      </c>
      <c r="M14" s="25" t="inlineStr">
        <is>
          <t>Não</t>
        </is>
      </c>
      <c r="N14" s="29">
        <f>IF(OR(M14&lt;&gt;"Sim",I14=""),0,K14*IF(H14="BRL",1,IF(H14="EUR",Parâmetros!$B$4,IF(H14="USD",Parâmetros!$B$5,1))))</f>
        <v/>
      </c>
      <c r="O14" s="25" t="inlineStr">
        <is>
          <t>Cotado</t>
        </is>
      </c>
      <c r="P14" s="30" t="inlineStr">
        <is>
          <t>Cotação de 21/09: Junior Suite R$ 11.042 + Superior Room R$ 8.030 = R$ 19.072 pelas 4 noites (R$ 4.768/noite). Junior Suite comporta 3. R$ 4.568 mais barato que o Herrenhof, na mesma rua.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Viena · cama extra ou 3º quarto para o filho</t>
        </is>
      </c>
      <c r="D15" s="23" t="inlineStr">
        <is>
          <t>2 noites, a partir da chegada em 05/01, no hotel escolhido</t>
        </is>
      </c>
      <c r="E15" s="23" t="inlineStr">
        <is>
          <t>05/01 → 07/01</t>
        </is>
      </c>
      <c r="F15" s="23" t="n">
        <v>1</v>
      </c>
      <c r="G15" s="25" t="inlineStr"/>
      <c r="H15" s="25" t="inlineStr">
        <is>
          <t>EUR</t>
        </is>
      </c>
      <c r="I15" s="26" t="n"/>
      <c r="J15" s="25" t="n">
        <v>2</v>
      </c>
      <c r="K15" s="27">
        <f>IF(I15="","",I15*J15)</f>
        <v/>
      </c>
      <c r="L15" s="28" t="inlineStr"/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Descartado</t>
        </is>
      </c>
      <c r="P15" s="30" t="inlineStr">
        <is>
          <t>Desnecessária: a Junior Suite das duas opções comporta o filho.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1 · The Emblem Prague Hotel 5★</t>
        </is>
      </c>
      <c r="D16" s="23" t="inlineStr">
        <is>
          <t>Platnéřská, Cidade Velha, a 2 min da Praça da Cidade Velha, spa na cobertura · 1 Suite Pretender + 1 Queen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3335</v>
      </c>
      <c r="J16" s="25" t="n">
        <v>3</v>
      </c>
      <c r="K16" s="27">
        <f>IF(I16="","",I16*J16)</f>
        <v/>
      </c>
      <c r="L16" s="28" t="inlineStr">
        <is>
          <t>Booking 20/09, outros hotéis: Art Nouveau Palace 5★ € 812 · Hilton Old Town 5★ € 1.041 por 2 quartos/3 noites (5 pax)</t>
        </is>
      </c>
      <c r="M16" s="25" t="inlineStr">
        <is>
          <t>Sim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Suite Pretender R$ 5.680 + Queen Room R$ 4.325 = R$ 10.005 pelas 3 noites (R$ 3.335/noite). Suíte comporta 3. Escolhida para o total: boutique 5★ no coração da Cidade Velha, R$ 1.980 acima da Opção 2.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Praga · Opção 2 · Century Old Town Prague, MGallery 4★</t>
        </is>
      </c>
      <c r="D17" s="23" t="inlineStr">
        <is>
          <t>Na Poříčí, prédio onde Kafka trabalhou, a 8 min da Praça da Cidade Velha · 1 Executive + 1 Classic Room · café da manhã · 3 noites</t>
        </is>
      </c>
      <c r="E17" s="23" t="inlineStr">
        <is>
          <t>07/01 → 10/01</t>
        </is>
      </c>
      <c r="F17" s="23" t="n">
        <v>5</v>
      </c>
      <c r="G17" s="25" t="inlineStr">
        <is>
          <t>Consolidador (a nomear)</t>
        </is>
      </c>
      <c r="H17" s="25" t="inlineStr">
        <is>
          <t>BRL</t>
        </is>
      </c>
      <c r="I17" s="26" t="n">
        <v>2675</v>
      </c>
      <c r="J17" s="25" t="n">
        <v>3</v>
      </c>
      <c r="K17" s="27">
        <f>IF(I17="","",I17*J17)</f>
        <v/>
      </c>
      <c r="L17" s="28" t="n"/>
      <c r="M17" s="25" t="inlineStr">
        <is>
          <t>Não</t>
        </is>
      </c>
      <c r="N17" s="29">
        <f>IF(OR(M17&lt;&gt;"Sim",I17=""),0,K17*IF(H17="BRL",1,IF(H17="EUR",Parâmetros!$B$4,IF(H17="USD",Parâmetros!$B$5,1))))</f>
        <v/>
      </c>
      <c r="O17" s="25" t="inlineStr">
        <is>
          <t>Cotado</t>
        </is>
      </c>
      <c r="P17" s="30" t="inlineStr">
        <is>
          <t>Cotação de 21/09: Executive R$ 4.645 + Classic R$ 3.380 = R$ 8.025 pelas 3 noites (R$ 2.675/noite). Suíte comporta 3.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1 · Hôtel François 1er 4★</t>
        </is>
      </c>
      <c r="D18" s="23" t="inlineStr">
        <is>
          <t>Rue Magellan, 8º arr., a 2 min da Champs-Élysées · 1 Executive Room + 1 Classic Double · café da manhã · 2 noites</t>
        </is>
      </c>
      <c r="E18" s="23" t="inlineStr">
        <is>
          <t>10/01 → 12/01</t>
        </is>
      </c>
      <c r="F18" s="23" t="n">
        <v>5</v>
      </c>
      <c r="G18" s="25" t="inlineStr">
        <is>
          <t>Consolidador (a nomear)</t>
        </is>
      </c>
      <c r="H18" s="25" t="inlineStr">
        <is>
          <t>BRL</t>
        </is>
      </c>
      <c r="I18" s="26" t="n">
        <v>5587.5</v>
      </c>
      <c r="J18" s="25" t="n">
        <v>2</v>
      </c>
      <c r="K18" s="27">
        <f>IF(I18="","",I18*J18)</f>
        <v/>
      </c>
      <c r="L18" s="28" t="n"/>
      <c r="M18" s="25" t="inlineStr">
        <is>
          <t>Sim</t>
        </is>
      </c>
      <c r="N18" s="29">
        <f>IF(OR(M18&lt;&gt;"Sim",I18=""),0,K18*IF(H18="BRL",1,IF(H18="EUR",Parâmetros!$B$4,IF(H18="USD",Parâmetros!$B$5,1))))</f>
        <v/>
      </c>
      <c r="O18" s="25" t="inlineStr">
        <is>
          <t>Cotado</t>
        </is>
      </c>
      <c r="P18" s="30" t="inlineStr">
        <is>
          <t>Cotação de 21/09: Executive R$ 6.420 + Classic Double R$ 4.755 = R$ 11.175 pelas 2 noites (R$ 5.587,50/noite). Executive comporta 3: pais + filho, filhas no Classic.</t>
        </is>
      </c>
    </row>
    <row r="19">
      <c r="A19" s="23" t="n">
        <v>15</v>
      </c>
      <c r="B19" s="23" t="inlineStr">
        <is>
          <t>Hotel</t>
        </is>
      </c>
      <c r="C19" s="24" t="inlineStr">
        <is>
          <t>Paris · Opção 2 · Hotel Indigo Paris Opéra, IHG 4★</t>
        </is>
      </c>
      <c r="D19" s="23" t="inlineStr">
        <is>
          <t>Rue de Châteaudun, 9º arr., entre a Ópera Garnier e Montmartre · 1 Standard Queen triplo + 1 Standard Queen duplo · café da manhã · 2 noites</t>
        </is>
      </c>
      <c r="E19" s="23" t="inlineStr">
        <is>
          <t>10/01 → 12/01</t>
        </is>
      </c>
      <c r="F19" s="23" t="n">
        <v>5</v>
      </c>
      <c r="G19" s="25" t="inlineStr">
        <is>
          <t>Consolidador (a nomear)</t>
        </is>
      </c>
      <c r="H19" s="25" t="inlineStr">
        <is>
          <t>BRL</t>
        </is>
      </c>
      <c r="I19" s="26" t="n">
        <v>5715</v>
      </c>
      <c r="J19" s="25" t="n">
        <v>2</v>
      </c>
      <c r="K19" s="27">
        <f>IF(I19="","",I19*J19)</f>
        <v/>
      </c>
      <c r="L19" s="28" t="n"/>
      <c r="M19" s="25" t="inlineStr">
        <is>
          <t>Não</t>
        </is>
      </c>
      <c r="N19" s="29">
        <f>IF(OR(M19&lt;&gt;"Sim",I19=""),0,K19*IF(H19="BRL",1,IF(H19="EUR",Parâmetros!$B$4,IF(H19="USD",Parâmetros!$B$5,1))))</f>
        <v/>
      </c>
      <c r="O19" s="25" t="inlineStr">
        <is>
          <t>Cotado</t>
        </is>
      </c>
      <c r="P19" s="30" t="inlineStr">
        <is>
          <t>Cotação de 21/09: triplo R$ 6.730 + duplo R$ 4.700 = R$ 11.430 pelas 2 noites (R$ 5.715/noite). Triplo resolve pais + filho sem depender de confirmação.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Budapeste → Viena · 4 pax</t>
        </is>
      </c>
      <c r="D20" s="23" t="inlineStr">
        <is>
          <t>ÖBB RJX 62 · Budapest-Keleti 09:30 → Wien Hbf 12:20 · 2h50 · direto · 1ª classe · assentos marcados</t>
        </is>
      </c>
      <c r="E20" s="23" t="inlineStr">
        <is>
          <t>03/01</t>
        </is>
      </c>
      <c r="F20" s="23" t="n">
        <v>4</v>
      </c>
      <c r="G20" s="25" t="inlineStr">
        <is>
          <t>Consolidador (a nomear)</t>
        </is>
      </c>
      <c r="H20" s="25" t="inlineStr">
        <is>
          <t>BRL</t>
        </is>
      </c>
      <c r="I20" s="26" t="n">
        <v>302.5</v>
      </c>
      <c r="J20" s="25" t="n">
        <v>4</v>
      </c>
      <c r="K20" s="27">
        <f>IF(I20="","",I20*J20)</f>
        <v/>
      </c>
      <c r="L20" s="28" t="inlineStr"/>
      <c r="M20" s="25" t="inlineStr">
        <is>
          <t>Não</t>
        </is>
      </c>
      <c r="N20" s="29">
        <f>IF(OR(M20&lt;&gt;"Sim",I20=""),0,K20*IF(H20="BRL",1,IF(H20="EUR",Parâmetros!$B$4,IF(H20="USD",Parâmetros!$B$5,1))))</f>
        <v/>
      </c>
      <c r="O20" s="25" t="inlineStr">
        <is>
          <t>Descartado</t>
        </is>
      </c>
      <c r="P20" s="30" t="inlineStr">
        <is>
          <t>Substituído pelo trajeto via Tokaj (02 e 03/01). Valor de referência: R$ 1.210 para 4 pax em 1ª classe.</t>
        </is>
      </c>
    </row>
    <row r="21">
      <c r="A21" s="23" t="n">
        <v>17</v>
      </c>
      <c r="B21" s="23" t="inlineStr">
        <is>
          <t>Trem</t>
        </is>
      </c>
      <c r="C21" s="24" t="inlineStr">
        <is>
          <t>Trem Budapeste → Tokaj · 4 pax</t>
        </is>
      </c>
      <c r="D21" s="23" t="inlineStr">
        <is>
          <t>MÁV IC 562 Tokaj InterCity · Budapest-Keleti 09:25 → Tokaj 12:08 · 2h43 · direto · com bagagem</t>
        </is>
      </c>
      <c r="E21" s="23" t="inlineStr">
        <is>
          <t>02/01</t>
        </is>
      </c>
      <c r="F21" s="23" t="n">
        <v>4</v>
      </c>
      <c r="G21" s="25" t="inlineStr">
        <is>
          <t>Consolidador (a nomear)</t>
        </is>
      </c>
      <c r="H21" s="25" t="inlineStr">
        <is>
          <t>BRL</t>
        </is>
      </c>
      <c r="I21" s="26" t="n">
        <v>100</v>
      </c>
      <c r="J21" s="25" t="n">
        <v>4</v>
      </c>
      <c r="K21" s="27">
        <f>IF(I21="","",I21*J21)</f>
        <v/>
      </c>
      <c r="L21" s="28" t="n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Cotado</t>
        </is>
      </c>
      <c r="P21" s="30" t="inlineStr">
        <is>
          <t>Cotação de 21/09: R$ 400 para 2 adultos e 2 adolescentes (R$ 100/pax). Confirmar classe. Chegada ao meio-dia: fazer Disznókő (descer em Mezőzombor, 12:00) e almoço primeiro, Oremus às 15h30, hotel às 17h. Há um alerta (⚠) em Hatvan no sistema da MÁV: conferir se é obra na linha.</t>
        </is>
      </c>
    </row>
    <row r="22">
      <c r="A22" s="23" t="n">
        <v>18</v>
      </c>
      <c r="B22" s="23" t="inlineStr">
        <is>
          <t>Trem</t>
        </is>
      </c>
      <c r="C22" s="24" t="inlineStr">
        <is>
          <t>Trem Tokaj → Budapeste → Viena · 4 pax</t>
        </is>
      </c>
      <c r="D22" s="23" t="inlineStr">
        <is>
          <t>MÁV InterCity Tokaj → Budapest-Keleti + Railjet Keleti → Wien Hbf · ~6h com conexão · 1ª classe</t>
        </is>
      </c>
      <c r="E22" s="23" t="inlineStr">
        <is>
          <t>03/01</t>
        </is>
      </c>
      <c r="F22" s="23" t="n">
        <v>4</v>
      </c>
      <c r="G22" s="25" t="inlineStr">
        <is>
          <t>Consolidador (a nomear)</t>
        </is>
      </c>
      <c r="H22" s="25" t="inlineStr">
        <is>
          <t>BRL</t>
        </is>
      </c>
      <c r="I22" s="26" t="n"/>
      <c r="J22" s="25" t="n">
        <v>4</v>
      </c>
      <c r="K22" s="27">
        <f>IF(I22="","",I22*J22)</f>
        <v/>
      </c>
      <c r="L22" s="28" t="n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>
        <is>
          <t>Chegada em Viena no meio da tarde. Deixar folga de ≥ 40 min na conexão em Keleti.</t>
        </is>
      </c>
    </row>
    <row r="23">
      <c r="A23" s="23" t="n">
        <v>19</v>
      </c>
      <c r="B23" s="23" t="inlineStr">
        <is>
          <t>Trem</t>
        </is>
      </c>
      <c r="C23" s="24" t="inlineStr">
        <is>
          <t>Railjet Viena → Praga · 5 pax</t>
        </is>
      </c>
      <c r="D23" s="23" t="inlineStr">
        <is>
          <t>ÖBB RJ 252 · Wien Hbf 11:10 → Praha hlavní nádraží 15:23 · 4h13 · direto · 1ª classe · assentos marcados</t>
        </is>
      </c>
      <c r="E23" s="23" t="inlineStr">
        <is>
          <t>07/01</t>
        </is>
      </c>
      <c r="F23" s="23" t="n">
        <v>5</v>
      </c>
      <c r="G23" s="25" t="inlineStr">
        <is>
          <t>Consolidador (a nomear)</t>
        </is>
      </c>
      <c r="H23" s="25" t="inlineStr">
        <is>
          <t>BRL</t>
        </is>
      </c>
      <c r="I23" s="26" t="n">
        <v>381</v>
      </c>
      <c r="J23" s="25" t="n">
        <v>5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Cotado</t>
        </is>
      </c>
      <c r="P23" s="30" t="inlineStr">
        <is>
          <t>Cotação de 21/09: R$ 1.905 para 5 pax (R$ 381/pax), 1ª classe.</t>
        </is>
      </c>
    </row>
    <row r="24">
      <c r="A24" s="23" t="n">
        <v>20</v>
      </c>
      <c r="B24" s="23" t="inlineStr">
        <is>
          <t>Transfer</t>
        </is>
      </c>
      <c r="C24" s="24" t="inlineStr">
        <is>
          <t>Budapeste · aeroporto → hotel · 4 pax</t>
        </is>
      </c>
      <c r="D24" s="23" t="inlineStr">
        <is>
          <t>Van privativa com recepção no desembarque</t>
        </is>
      </c>
      <c r="E24" s="23" t="inlineStr">
        <is>
          <t>30/12</t>
        </is>
      </c>
      <c r="F24" s="23" t="n">
        <v>4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>
        <is>
          <t>Valor unitário = por veículo.</t>
        </is>
      </c>
    </row>
    <row r="25">
      <c r="A25" s="23" t="n">
        <v>21</v>
      </c>
      <c r="B25" s="23" t="inlineStr">
        <is>
          <t>Transfer</t>
        </is>
      </c>
      <c r="C25" s="24" t="inlineStr">
        <is>
          <t>Budapeste · hotel → estação Keleti · 4 pax</t>
        </is>
      </c>
      <c r="D25" s="23" t="inlineStr">
        <is>
          <t>Carro ou van privativa, com bagagem</t>
        </is>
      </c>
      <c r="E25" s="23" t="inlineStr">
        <is>
          <t>02/01</t>
        </is>
      </c>
      <c r="F25" s="23" t="n">
        <v>4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Viena · estação Hbf → hotel · 4 pax</t>
        </is>
      </c>
      <c r="D26" s="23" t="inlineStr">
        <is>
          <t>Carro ou van privativa</t>
        </is>
      </c>
      <c r="E26" s="23" t="inlineStr">
        <is>
          <t>03/01</t>
        </is>
      </c>
      <c r="F26" s="23" t="n">
        <v>4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Viena · aeroporto → hotel · filho · 1 pax</t>
        </is>
      </c>
      <c r="D27" s="23" t="inlineStr">
        <is>
          <t>Motorista com placa no desembarque · reforçar: menor viajando só</t>
        </is>
      </c>
      <c r="E27" s="23" t="inlineStr">
        <is>
          <t>05/01</t>
        </is>
      </c>
      <c r="F27" s="23" t="n">
        <v>1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Viena · hotel → estação Hbf · 5 pax</t>
        </is>
      </c>
      <c r="D28" s="23" t="inlineStr">
        <is>
          <t>Van privativa</t>
        </is>
      </c>
      <c r="E28" s="23" t="inlineStr">
        <is>
          <t>07/01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Praga · estação hl.n. → hotel · 5 pax</t>
        </is>
      </c>
      <c r="D29" s="23" t="inlineStr">
        <is>
          <t>Van privativa</t>
        </is>
      </c>
      <c r="E29" s="23" t="inlineStr">
        <is>
          <t>07/01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Transfer</t>
        </is>
      </c>
      <c r="C30" s="24" t="inlineStr">
        <is>
          <t>Praga · hotel → aeroporto · 5 pax</t>
        </is>
      </c>
      <c r="D30" s="23" t="inlineStr">
        <is>
          <t>Van privativa</t>
        </is>
      </c>
      <c r="E30" s="23" t="inlineStr">
        <is>
          <t>10/01</t>
        </is>
      </c>
      <c r="F30" s="23" t="n">
        <v>5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/>
    </row>
    <row r="31">
      <c r="A31" s="23" t="n">
        <v>27</v>
      </c>
      <c r="B31" s="23" t="inlineStr">
        <is>
          <t>Transfer</t>
        </is>
      </c>
      <c r="C31" s="24" t="inlineStr">
        <is>
          <t>Paris · CDG → hotel · 5 pax</t>
        </is>
      </c>
      <c r="D31" s="23" t="inlineStr">
        <is>
          <t>Van privativa</t>
        </is>
      </c>
      <c r="E31" s="23" t="inlineStr">
        <is>
          <t>10/01</t>
        </is>
      </c>
      <c r="F31" s="23" t="n">
        <v>5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/>
    </row>
    <row r="32">
      <c r="A32" s="23" t="n">
        <v>28</v>
      </c>
      <c r="B32" s="23" t="inlineStr">
        <is>
          <t>Transfer</t>
        </is>
      </c>
      <c r="C32" s="24" t="inlineStr">
        <is>
          <t>Paris · hotel → CDG · 5 pax</t>
        </is>
      </c>
      <c r="D32" s="23" t="inlineStr">
        <is>
          <t>Van privativa</t>
        </is>
      </c>
      <c r="E32" s="23" t="inlineStr">
        <is>
          <t>12/01</t>
        </is>
      </c>
      <c r="F32" s="23" t="n">
        <v>5</v>
      </c>
      <c r="G32" s="25" t="inlineStr"/>
      <c r="H32" s="25" t="inlineStr">
        <is>
          <t>EUR</t>
        </is>
      </c>
      <c r="I32" s="26" t="n"/>
      <c r="J32" s="25" t="n">
        <v>1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/>
    </row>
    <row r="33">
      <c r="A33" s="23" t="n">
        <v>29</v>
      </c>
      <c r="B33" s="23" t="inlineStr">
        <is>
          <t>Experiência</t>
        </is>
      </c>
      <c r="C33" s="24" t="inlineStr">
        <is>
          <t>Réveillon · Opção 1 · Silverline · jantar de gala em catamarã · 4 pax</t>
        </is>
      </c>
      <c r="D33" s="23" t="inlineStr">
        <is>
          <t>Cais 11, Ponte Elisabeth · embarque 20h, retorno 1h · welcome cocktail, jantar de 5 pratos, espumante, show de piano · Parlamento iluminado, brinde e fogos à meia-noite</t>
        </is>
      </c>
      <c r="E33" s="23" t="inlineStr">
        <is>
          <t>31/12</t>
        </is>
      </c>
      <c r="F33" s="23" t="n">
        <v>4</v>
      </c>
      <c r="G33" s="25" t="inlineStr">
        <is>
          <t>Silverline Cruises</t>
        </is>
      </c>
      <c r="H33" s="25" t="inlineStr">
        <is>
          <t>BRL</t>
        </is>
      </c>
      <c r="I33" s="26" t="n">
        <v>2146.59</v>
      </c>
      <c r="J33" s="25" t="n">
        <v>4</v>
      </c>
      <c r="K33" s="27">
        <f>IF(I33="","",I33*J33)</f>
        <v/>
      </c>
      <c r="L33" s="28" t="inlineStr">
        <is>
          <t>silver-line.hu/product/budapest-new-years-eve-dinner-cruise</t>
        </is>
      </c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Cotado</t>
        </is>
      </c>
      <c r="P33" s="30" t="inlineStr">
        <is>
          <t>Valor por pessoa, conforme a página da Silverline em 21/09.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Réveillon · Opção 2 · Budapest River Cruise · NYE Party Cruise · 4 pax</t>
        </is>
      </c>
      <c r="D34" s="23" t="inlineStr">
        <is>
          <t>Cais 8/8A, Ponte Elisabeth · embarque 19h, retorno 1h · jantar, música ao vivo e virada a bordo</t>
        </is>
      </c>
      <c r="E34" s="23" t="inlineStr">
        <is>
          <t>31/12</t>
        </is>
      </c>
      <c r="F34" s="23" t="n">
        <v>4</v>
      </c>
      <c r="G34" s="25" t="inlineStr">
        <is>
          <t>Budapest River Cruise</t>
        </is>
      </c>
      <c r="H34" s="25" t="inlineStr">
        <is>
          <t>BRL</t>
        </is>
      </c>
      <c r="I34" s="26" t="n">
        <v>2272.86</v>
      </c>
      <c r="J34" s="25" t="n">
        <v>4</v>
      </c>
      <c r="K34" s="27">
        <f>IF(I34="","",I34*J34)</f>
        <v/>
      </c>
      <c r="L34" s="28" t="inlineStr">
        <is>
          <t>budapestrivercruise.com/budapest-new-years-eve-cruise-party</t>
        </is>
      </c>
      <c r="M34" s="25" t="inlineStr">
        <is>
          <t>Não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Valor por pessoa, 6 horas a bordo (19h à 1h). Mais que o dobro da Opção 1 por pessoa. Confirmar preço de menor e o que o jantar inclui.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Tokaj · táxi local contratado pelo dia · 4 pax</t>
        </is>
      </c>
      <c r="D35" s="23" t="inlineStr">
        <is>
          <t>Estação de Tokaj → Oremus (Tolcsva) → almoço → Disznókő (Mezőzombor) → Minaro Hotel · 03/01 hotel → estação</t>
        </is>
      </c>
      <c r="E35" s="23" t="inlineStr">
        <is>
          <t>02/01</t>
        </is>
      </c>
      <c r="F35" s="23" t="n">
        <v>4</v>
      </c>
      <c r="G35" s="25" t="inlineStr">
        <is>
          <t>Motorista local (indicação da Oremus)</t>
        </is>
      </c>
      <c r="H35" s="25" t="inlineStr">
        <is>
          <t>BRL</t>
        </is>
      </c>
      <c r="I35" s="26" t="n"/>
      <c r="J35" s="25" t="n">
        <v>1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Substitui o motorista-guia de Budapeste, que veio muito caro. Referência: € 120 a 180 pelo dia.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Oremus · visita à adega e prova · 2 adultos + 2 filhas</t>
        </is>
      </c>
      <c r="D36" s="23" t="inlineStr">
        <is>
          <t>Tolcsva · agendamento por e-mail · ~1h · adegas do século XIII · adolescentes acompanham sem álcool</t>
        </is>
      </c>
      <c r="E36" s="23" t="inlineStr">
        <is>
          <t>02/01</t>
        </is>
      </c>
      <c r="F36" s="23" t="n">
        <v>4</v>
      </c>
      <c r="G36" s="25" t="inlineStr">
        <is>
          <t>Tokaj-Oremus</t>
        </is>
      </c>
      <c r="H36" s="25" t="inlineStr">
        <is>
          <t>BRL</t>
        </is>
      </c>
      <c r="I36" s="26" t="n">
        <v>315.67</v>
      </c>
      <c r="J36" s="25" t="n">
        <v>1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Cotado</t>
        </is>
      </c>
      <c r="P36" s="30" t="inlineStr">
        <is>
          <t>Cotação de 21/09 em reais para a família (2 adultos e 2 filhas). Confirmar recepção no sábado 02/01; plano B: segunda 04/01.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Disznókő · visita e prova · 2 adultos + 2 filhas</t>
        </is>
      </c>
      <c r="D37" s="23" t="inlineStr">
        <is>
          <t>Mezőzombor, a 20 min de Tolcsva · vinícola do grupo AXA Millésimes · segunda parada da tarde</t>
        </is>
      </c>
      <c r="E37" s="23" t="inlineStr">
        <is>
          <t>02/01</t>
        </is>
      </c>
      <c r="F37" s="23" t="n">
        <v>4</v>
      </c>
      <c r="G37" s="25" t="inlineStr">
        <is>
          <t>Disznókő</t>
        </is>
      </c>
      <c r="H37" s="25" t="inlineStr">
        <is>
          <t>BRL</t>
        </is>
      </c>
      <c r="I37" s="26" t="n"/>
      <c r="J37" s="25" t="n">
        <v>1</v>
      </c>
      <c r="K37" s="27">
        <f>IF(I37="","",I37*J37)</f>
        <v/>
      </c>
      <c r="L37" s="28" t="n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>
        <is>
          <t>Aguardando valores da vinícola.</t>
        </is>
      </c>
    </row>
    <row r="38">
      <c r="A38" s="23" t="n">
        <v>34</v>
      </c>
      <c r="B38" s="23" t="inlineStr">
        <is>
          <t>Experiência</t>
        </is>
      </c>
      <c r="C38" s="24" t="inlineStr">
        <is>
          <t>Almoço em vinícola ou restaurante em Tokaj · 4 pax</t>
        </is>
      </c>
      <c r="D38" s="23" t="inlineStr">
        <is>
          <t>Mád ou Tarcal</t>
        </is>
      </c>
      <c r="E38" s="23" t="inlineStr">
        <is>
          <t>02/01</t>
        </is>
      </c>
      <c r="F38" s="23" t="n">
        <v>4</v>
      </c>
      <c r="G38" s="25" t="inlineStr"/>
      <c r="H38" s="25" t="inlineStr">
        <is>
          <t>EUR</t>
        </is>
      </c>
      <c r="I38" s="26" t="n"/>
      <c r="J38" s="25" t="n">
        <v>4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>
        <is>
          <t>Pode vir incluído no pacote do motorista-guia.</t>
        </is>
      </c>
    </row>
    <row r="39">
      <c r="A39" s="23" t="n">
        <v>35</v>
      </c>
      <c r="B39" s="23" t="inlineStr">
        <is>
          <t>Seguro/Docs</t>
        </is>
      </c>
      <c r="C39" s="24" t="inlineStr">
        <is>
          <t>Seguro viagem · 5 pax · 15 dias</t>
        </is>
      </c>
      <c r="D39" s="23" t="inlineStr">
        <is>
          <t>Plano 90 Essential · DMH USD 90.000 · 29/12 a 12/01</t>
        </is>
      </c>
      <c r="E39" s="23" t="inlineStr">
        <is>
          <t>29/12 → 12/01</t>
        </is>
      </c>
      <c r="F39" s="23" t="n">
        <v>5</v>
      </c>
      <c r="G39" s="25" t="inlineStr">
        <is>
          <t>31 Motivos</t>
        </is>
      </c>
      <c r="H39" s="25" t="inlineStr">
        <is>
          <t>BRL</t>
        </is>
      </c>
      <c r="I39" s="26" t="n">
        <v>300.6</v>
      </c>
      <c r="J39" s="25" t="n">
        <v>5</v>
      </c>
      <c r="K39" s="27">
        <f>IF(I39="","",I39*J39)</f>
        <v/>
      </c>
      <c r="L39" s="28" t="inlineStr"/>
      <c r="M39" s="25" t="inlineStr">
        <is>
          <t>Sim</t>
        </is>
      </c>
      <c r="N39" s="29">
        <f>IF(OR(M39&lt;&gt;"Sim",I39=""),0,K39*IF(H39="BRL",1,IF(H39="EUR",Parâmetros!$B$4,IF(H39="USD",Parâmetros!$B$5,1))))</f>
        <v/>
      </c>
      <c r="O39" s="25" t="inlineStr">
        <is>
          <t>Cotado</t>
        </is>
      </c>
      <c r="P39" s="30" t="inlineStr">
        <is>
          <t>Cotação de 21/09: R$ 1.503,00 para os 5 (R$ 300,60 por pessoa). Confirmar se a apólice do filho cobre desde o embarque dele em 04/01.</t>
        </is>
      </c>
    </row>
    <row r="41">
      <c r="C41" s="21" t="inlineStr">
        <is>
          <t>SUBTOTAL EM R$ (itens marcados como Sim)</t>
        </is>
      </c>
      <c r="N41" s="31">
        <f>SUM(N5:N39)</f>
        <v/>
      </c>
    </row>
    <row r="42">
      <c r="C42" s="12" t="inlineStr">
        <is>
          <t>Taxa de serviço LusaTravel</t>
        </is>
      </c>
      <c r="N42" s="13">
        <f>N41*Parâmetros!$B$10</f>
        <v/>
      </c>
    </row>
    <row r="43">
      <c r="A43" s="32" t="n"/>
      <c r="B43" s="32" t="n"/>
      <c r="C43" s="33" t="inlineStr">
        <is>
          <t>TOTAL PARA O CLIENTE</t>
        </is>
      </c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4">
        <f>N41+N42</f>
        <v/>
      </c>
      <c r="O43" s="32" t="n"/>
      <c r="P43" s="32" t="n"/>
    </row>
    <row r="44">
      <c r="C44" s="2" t="inlineStr">
        <is>
          <t>*Nada reservado, apenas cotado.</t>
        </is>
      </c>
    </row>
  </sheetData>
  <autoFilter ref="A4:P39"/>
  <dataValidations count="3">
    <dataValidation sqref="O5:O39" showDropDown="0" showInputMessage="0" showErrorMessage="0" allowBlank="1" type="list">
      <formula1>"A cotar,Cotado,Aprovado pelo cliente,Reservado,Descartado"</formula1>
    </dataValidation>
    <dataValidation sqref="M5:M39" showDropDown="0" showInputMessage="0" showErrorMessage="0" allowBlank="0" type="list">
      <formula1>"Sim,Não"</formula1>
    </dataValidation>
    <dataValidation sqref="H5:H39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2026-09-21T19:26:36Z</dcterms:modified>
</cp:coreProperties>
</file>