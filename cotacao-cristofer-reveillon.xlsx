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COUNTIF(Cotação!$B$5:$B$45,A5)</f>
        <v/>
      </c>
      <c r="C5" s="5">
        <f>COUNTIFS(Cotação!$B$5:$B$45,A5,Cotação!$O$5:$O$45,"A cotar")</f>
        <v/>
      </c>
      <c r="D5" s="5">
        <f>COUNTIFS(Cotação!$B$5:$B$45,A5,Cotação!$O$5:$O$45,"&lt;&gt;A cotar")</f>
        <v/>
      </c>
      <c r="E5" s="6">
        <f>SUMIF(Cotação!$B$5:$B$45,A5,Cotação!$N$5:$N$45)</f>
        <v/>
      </c>
    </row>
    <row r="6">
      <c r="A6" s="4" t="inlineStr">
        <is>
          <t>Hotel</t>
        </is>
      </c>
      <c r="B6" s="5">
        <f>COUNTIF(Cotação!$B$5:$B$45,A6)</f>
        <v/>
      </c>
      <c r="C6" s="5">
        <f>COUNTIFS(Cotação!$B$5:$B$45,A6,Cotação!$O$5:$O$45,"A cotar")</f>
        <v/>
      </c>
      <c r="D6" s="5">
        <f>COUNTIFS(Cotação!$B$5:$B$45,A6,Cotação!$O$5:$O$45,"&lt;&gt;A cotar")</f>
        <v/>
      </c>
      <c r="E6" s="6">
        <f>SUMIF(Cotação!$B$5:$B$45,A6,Cotação!$N$5:$N$45)</f>
        <v/>
      </c>
    </row>
    <row r="7">
      <c r="A7" s="4" t="inlineStr">
        <is>
          <t>Trem</t>
        </is>
      </c>
      <c r="B7" s="5">
        <f>COUNTIF(Cotação!$B$5:$B$45,A7)</f>
        <v/>
      </c>
      <c r="C7" s="5">
        <f>COUNTIFS(Cotação!$B$5:$B$45,A7,Cotação!$O$5:$O$45,"A cotar")</f>
        <v/>
      </c>
      <c r="D7" s="5">
        <f>COUNTIFS(Cotação!$B$5:$B$45,A7,Cotação!$O$5:$O$45,"&lt;&gt;A cotar")</f>
        <v/>
      </c>
      <c r="E7" s="6">
        <f>SUMIF(Cotação!$B$5:$B$45,A7,Cotação!$N$5:$N$45)</f>
        <v/>
      </c>
    </row>
    <row r="8">
      <c r="A8" s="4" t="inlineStr">
        <is>
          <t>Transfer</t>
        </is>
      </c>
      <c r="B8" s="5">
        <f>COUNTIF(Cotação!$B$5:$B$45,A8)</f>
        <v/>
      </c>
      <c r="C8" s="5">
        <f>COUNTIFS(Cotação!$B$5:$B$45,A8,Cotação!$O$5:$O$45,"A cotar")</f>
        <v/>
      </c>
      <c r="D8" s="5">
        <f>COUNTIFS(Cotação!$B$5:$B$45,A8,Cotação!$O$5:$O$45,"&lt;&gt;A cotar")</f>
        <v/>
      </c>
      <c r="E8" s="6">
        <f>SUMIF(Cotação!$B$5:$B$45,A8,Cotação!$N$5:$N$45)</f>
        <v/>
      </c>
    </row>
    <row r="9">
      <c r="A9" s="4" t="inlineStr">
        <is>
          <t>Experiência</t>
        </is>
      </c>
      <c r="B9" s="5">
        <f>COUNTIF(Cotação!$B$5:$B$45,A9)</f>
        <v/>
      </c>
      <c r="C9" s="5">
        <f>COUNTIFS(Cotação!$B$5:$B$45,A9,Cotação!$O$5:$O$45,"A cotar")</f>
        <v/>
      </c>
      <c r="D9" s="5">
        <f>COUNTIFS(Cotação!$B$5:$B$45,A9,Cotação!$O$5:$O$45,"&lt;&gt;A cotar")</f>
        <v/>
      </c>
      <c r="E9" s="6">
        <f>SUMIF(Cotação!$B$5:$B$45,A9,Cotação!$N$5:$N$45)</f>
        <v/>
      </c>
    </row>
    <row r="10">
      <c r="A10" s="4" t="inlineStr">
        <is>
          <t>Seguro/Docs</t>
        </is>
      </c>
      <c r="B10" s="5">
        <f>COUNTIF(Cotação!$B$5:$B$45,A10)</f>
        <v/>
      </c>
      <c r="C10" s="5">
        <f>COUNTIFS(Cotação!$B$5:$B$45,A10,Cotação!$O$5:$O$45,"A cotar")</f>
        <v/>
      </c>
      <c r="D10" s="5">
        <f>COUNTIFS(Cotação!$B$5:$B$45,A10,Cotação!$O$5:$O$45,"&lt;&gt;A cotar")</f>
        <v/>
      </c>
      <c r="E10" s="6">
        <f>SUMIF(Cotação!$B$5:$B$45,A10,Cotação!$N$5:$N$45)</f>
        <v/>
      </c>
    </row>
    <row r="11">
      <c r="A11" s="4" t="inlineStr">
        <is>
          <t>Outros</t>
        </is>
      </c>
      <c r="B11" s="5">
        <f>COUNTIF(Cotação!$B$5:$B$45,A11)</f>
        <v/>
      </c>
      <c r="C11" s="5">
        <f>COUNTIFS(Cotação!$B$5:$B$45,A11,Cotação!$O$5:$O$45,"A cotar")</f>
        <v/>
      </c>
      <c r="D11" s="5">
        <f>COUNTIFS(Cotação!$B$5:$B$45,A11,Cotação!$O$5:$O$45,"&lt;&gt;A cotar")</f>
        <v/>
      </c>
      <c r="E11" s="6">
        <f>SUMIF(Cotação!$B$5:$B$45,A11,Cotação!$N$5:$N$45)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/>
    <row r="47">
      <c r="C47" s="21" t="inlineStr">
        <is>
          <t>SUBTOTAL EM R$ (itens marcados como Sim)</t>
        </is>
      </c>
      <c r="N47" s="31">
        <f>SUM(N5:N45)</f>
        <v/>
      </c>
    </row>
    <row r="48">
      <c r="C48" s="12" t="inlineStr">
        <is>
          <t>Taxa de serviço LusaTravel</t>
        </is>
      </c>
      <c r="N48" s="13">
        <f>N47*Parâmetros!$B$10</f>
        <v/>
      </c>
    </row>
    <row r="49">
      <c r="A49" s="32" t="n"/>
      <c r="B49" s="32" t="n"/>
      <c r="C49" s="33" t="inlineStr">
        <is>
          <t>TOTAL PARA O CLIENTE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4">
        <f>N47+N48</f>
        <v/>
      </c>
      <c r="O49" s="32" t="n"/>
      <c r="P49" s="32" t="n"/>
    </row>
    <row r="50">
      <c r="C50" s="2" t="inlineStr">
        <is>
          <t>*Nada reservado, apenas cotado.</t>
        </is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</sheetData>
  <autoFilter ref="A4:P45"/>
  <dataValidations count="3">
    <dataValidation sqref="O5:O45" showDropDown="0" showInputMessage="0" showErrorMessage="0" allowBlank="1" type="list">
      <formula1>"A cotar,Cotado,Aprovado pelo cliente,Reservado,Descartado"</formula1>
    </dataValidation>
    <dataValidation sqref="M5:M45" showDropDown="0" showInputMessage="0" showErrorMessage="0" allowBlank="0" type="list">
      <formula1>"Sim,Não"</formula1>
    </dataValidation>
    <dataValidation sqref="H5:H45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2026-09-21T14:18:47Z</dcterms:modified>
</cp:coreProperties>
</file>