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COUNTIF(Cotação!$B$5:$B$48,A5)</f>
        <v/>
      </c>
      <c r="C5" s="5">
        <f>COUNTIFS(Cotação!$B$5:$B$48,A5,Cotação!$O$5:$O$48,"A cotar")</f>
        <v/>
      </c>
      <c r="D5" s="5">
        <f>COUNTIFS(Cotação!$B$5:$B$48,A5,Cotação!$O$5:$O$48,"&lt;&gt;A cotar")</f>
        <v/>
      </c>
      <c r="E5" s="6">
        <f>SUMIF(Cotação!$B$5:$B$48,A5,Cotação!$N$5:$N$48)</f>
        <v/>
      </c>
    </row>
    <row r="6">
      <c r="A6" s="4" t="inlineStr">
        <is>
          <t>Hotel</t>
        </is>
      </c>
      <c r="B6" s="5">
        <f>COUNTIF(Cotação!$B$5:$B$48,A6)</f>
        <v/>
      </c>
      <c r="C6" s="5">
        <f>COUNTIFS(Cotação!$B$5:$B$48,A6,Cotação!$O$5:$O$48,"A cotar")</f>
        <v/>
      </c>
      <c r="D6" s="5">
        <f>COUNTIFS(Cotação!$B$5:$B$48,A6,Cotação!$O$5:$O$48,"&lt;&gt;A cotar")</f>
        <v/>
      </c>
      <c r="E6" s="6">
        <f>SUMIF(Cotação!$B$5:$B$48,A6,Cotação!$N$5:$N$48)</f>
        <v/>
      </c>
    </row>
    <row r="7">
      <c r="A7" s="4" t="inlineStr">
        <is>
          <t>Trem</t>
        </is>
      </c>
      <c r="B7" s="5">
        <f>COUNTIF(Cotação!$B$5:$B$48,A7)</f>
        <v/>
      </c>
      <c r="C7" s="5">
        <f>COUNTIFS(Cotação!$B$5:$B$48,A7,Cotação!$O$5:$O$48,"A cotar")</f>
        <v/>
      </c>
      <c r="D7" s="5">
        <f>COUNTIFS(Cotação!$B$5:$B$48,A7,Cotação!$O$5:$O$48,"&lt;&gt;A cotar")</f>
        <v/>
      </c>
      <c r="E7" s="6">
        <f>SUMIF(Cotação!$B$5:$B$48,A7,Cotação!$N$5:$N$48)</f>
        <v/>
      </c>
    </row>
    <row r="8">
      <c r="A8" s="4" t="inlineStr">
        <is>
          <t>Transfer</t>
        </is>
      </c>
      <c r="B8" s="5">
        <f>COUNTIF(Cotação!$B$5:$B$48,A8)</f>
        <v/>
      </c>
      <c r="C8" s="5">
        <f>COUNTIFS(Cotação!$B$5:$B$48,A8,Cotação!$O$5:$O$48,"A cotar")</f>
        <v/>
      </c>
      <c r="D8" s="5">
        <f>COUNTIFS(Cotação!$B$5:$B$48,A8,Cotação!$O$5:$O$48,"&lt;&gt;A cotar")</f>
        <v/>
      </c>
      <c r="E8" s="6">
        <f>SUMIF(Cotação!$B$5:$B$48,A8,Cotação!$N$5:$N$48)</f>
        <v/>
      </c>
    </row>
    <row r="9">
      <c r="A9" s="4" t="inlineStr">
        <is>
          <t>Experiência</t>
        </is>
      </c>
      <c r="B9" s="5">
        <f>COUNTIF(Cotação!$B$5:$B$48,A9)</f>
        <v/>
      </c>
      <c r="C9" s="5">
        <f>COUNTIFS(Cotação!$B$5:$B$48,A9,Cotação!$O$5:$O$48,"A cotar")</f>
        <v/>
      </c>
      <c r="D9" s="5">
        <f>COUNTIFS(Cotação!$B$5:$B$48,A9,Cotação!$O$5:$O$48,"&lt;&gt;A cotar")</f>
        <v/>
      </c>
      <c r="E9" s="6">
        <f>SUMIF(Cotação!$B$5:$B$48,A9,Cotação!$N$5:$N$48)</f>
        <v/>
      </c>
    </row>
    <row r="10">
      <c r="A10" s="4" t="inlineStr">
        <is>
          <t>Seguro/Docs</t>
        </is>
      </c>
      <c r="B10" s="5">
        <f>COUNTIF(Cotação!$B$5:$B$48,A10)</f>
        <v/>
      </c>
      <c r="C10" s="5">
        <f>COUNTIFS(Cotação!$B$5:$B$48,A10,Cotação!$O$5:$O$48,"A cotar")</f>
        <v/>
      </c>
      <c r="D10" s="5">
        <f>COUNTIFS(Cotação!$B$5:$B$48,A10,Cotação!$O$5:$O$48,"&lt;&gt;A cotar")</f>
        <v/>
      </c>
      <c r="E10" s="6">
        <f>SUMIF(Cotação!$B$5:$B$48,A10,Cotação!$N$5:$N$48)</f>
        <v/>
      </c>
    </row>
    <row r="11">
      <c r="A11" s="4" t="inlineStr">
        <is>
          <t>Outros</t>
        </is>
      </c>
      <c r="B11" s="5">
        <f>COUNTIF(Cotação!$B$5:$B$48,A11)</f>
        <v/>
      </c>
      <c r="C11" s="5">
        <f>COUNTIFS(Cotação!$B$5:$B$48,A11,Cotação!$O$5:$O$48,"A cotar")</f>
        <v/>
      </c>
      <c r="D11" s="5">
        <f>COUNTIFS(Cotação!$B$5:$B$48,A11,Cotação!$O$5:$O$48,"&lt;&gt;A cotar")</f>
        <v/>
      </c>
      <c r="E11" s="6">
        <f>SUMIF(Cotação!$B$5:$B$48,A11,Cotação!$N$5:$N$48)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5.91</v>
      </c>
      <c r="C4" s="17" t="inlineStr">
        <is>
          <t>Cotação comercial de 19/09/2026 (Remessa Online). Atualizar no dia da cotação formal.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19/09/2026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2.337,69), com PRG → CDG correto. Ainda em voos diferentes da família em 10/01 (AF1383 12:10 vs AF1183 09:50) e em 12/01 (AF454 23:20 vs LA8133 12:05). Decisão pendente: alinhar os 4 ao filho (recotar os 4 com AF1383 + AF454, ganha o dia 12 em Paris) ou aceitar as duas separações.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4 noites</t>
        </is>
      </c>
      <c r="E9" s="23" t="inlineStr">
        <is>
          <t>30/12 → 03/01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16800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Cotação de 21/09: R$ 16.800 por quarto pelas 4 noites (R$ 4.200/noite) = R$ 33.600. ALERTA: mais que o dobro do Booking para o mesmo hotel e datas (R$ 15.136 pelos 2 quartos). Confirmar se o valor é por quarto ou pelos dois, e o que a tarifa inclui (cancelamento flexível? pacote de Réveillon?).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6700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8690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Viena · Opção 1 · Steigenberger Icon Herrenhof 5★</t>
        </is>
      </c>
      <c r="D12" s="23" t="inlineStr">
        <is>
          <t>Herrengasse, Innere Stadt, a 5 min do Hofburg · 1 Junior Suite + 1 Superior Room · café da manhã · 4 noites</t>
        </is>
      </c>
      <c r="E12" s="23" t="inlineStr">
        <is>
          <t>03/01 → 07/01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5910</v>
      </c>
      <c r="J12" s="25" t="n">
        <v>4</v>
      </c>
      <c r="K12" s="27">
        <f>IF(I12="","",I12*J12)</f>
        <v/>
      </c>
      <c r="L12" s="28" t="inlineStr">
        <is>
          <t>Booking 20/09: € 1.862 (≈ R$ 11.004) por 2 quartos standard/4 noites no mesmo hotel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Junior Suite R$ 15.300 + Superior Room R$ 8.340 = R$ 23.640 pelas 4 noites (R$ 5.910/noite). A Junior Suite custa quase o dobro do Superior: perguntar ao consolidador se ela comporta 3 pessoas (sofá-cama) — se sim, resolve o filho a partir de 05/01 e a linha de cama extra sai. Pedir também o preço com 2 Superior.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2 · Radisson Blu Style Hotel 5★</t>
        </is>
      </c>
      <c r="D13" s="23" t="inlineStr">
        <is>
          <t>Herrengasse 12, Innere Stadt, design, a 3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4768</v>
      </c>
      <c r="J13" s="25" t="n">
        <v>4</v>
      </c>
      <c r="K13" s="27">
        <f>IF(I13="","",I13*J13)</f>
        <v/>
      </c>
      <c r="L13" s="28" t="inlineStr">
        <is>
          <t>Booking 20/09: R$ 12.034 por 2 quartos standard/4 noites no mesmo hotel</t>
        </is>
      </c>
      <c r="M13" s="25" t="inlineStr">
        <is>
          <t>Não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R$ 11.042 + Superior Room R$ 8.030 = R$ 19.072 pelas 4 noites (R$ 4.768/noite). R$ 4.568 mais barato que o Herrenhof na mesma configuração e na mesma rua. Mesma pergunta: a Junior Suite comporta 3?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cama extra ou 3º quarto para o filho</t>
        </is>
      </c>
      <c r="D14" s="23" t="inlineStr">
        <is>
          <t>2 noites, a partir da chegada em 05/01, no hotel escolhido</t>
        </is>
      </c>
      <c r="E14" s="23" t="inlineStr">
        <is>
          <t>05/01 → 07/01</t>
        </is>
      </c>
      <c r="F14" s="23" t="n">
        <v>1</v>
      </c>
      <c r="G14" s="25" t="inlineStr"/>
      <c r="H14" s="25" t="inlineStr">
        <is>
          <t>EUR</t>
        </is>
      </c>
      <c r="I14" s="26" t="n"/>
      <c r="J14" s="25" t="n">
        <v>2</v>
      </c>
      <c r="K14" s="27">
        <f>IF(I14="","",I14*J14)</f>
        <v/>
      </c>
      <c r="L14" s="28" t="inlineStr"/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diária. Se o hotel oferecer triplo, ajustar a Opção escolhida em vez desta linha.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1 · Art Nouveau Palace Hotel 5★</t>
        </is>
      </c>
      <c r="D15" s="23" t="inlineStr">
        <is>
          <t>Panská, Cidade Nova, a 5 min da Praça da Cidade Velha · 2 quartos (5 pax) · café · 3 noites</t>
        </is>
      </c>
      <c r="E15" s="23" t="inlineStr">
        <is>
          <t>07/01 → 10/01</t>
        </is>
      </c>
      <c r="F15" s="23" t="n">
        <v>5</v>
      </c>
      <c r="G15" s="25" t="inlineStr"/>
      <c r="H15" s="25" t="inlineStr">
        <is>
          <t>EUR</t>
        </is>
      </c>
      <c r="I15" s="26" t="n"/>
      <c r="J15" s="25" t="n">
        <v>3</v>
      </c>
      <c r="K15" s="27">
        <f>IF(I15="","",I15*J15)</f>
        <v/>
      </c>
      <c r="L15" s="28" t="inlineStr">
        <is>
          <t>€ 812 · 3 noites · 2 quartos · 3 adultos + 2 crianças</t>
        </is>
      </c>
      <c r="M15" s="25" t="inlineStr">
        <is>
          <t>Sim</t>
        </is>
      </c>
      <c r="N15" s="29">
        <f>IF(OR(M15&lt;&gt;"Sim",I15=""),0,K15*IF(H15="BRL",1,IF(H15="EUR",Parâmetros!$B$4,IF(H15="USD",Parâmetros!$B$5,1))))</f>
        <v/>
      </c>
      <c r="O15" s="25" t="inlineStr">
        <is>
          <t>A cotar</t>
        </is>
      </c>
      <c r="P15" s="30" t="inlineStr">
        <is>
          <t>Valor unitário = diária dos 2 quartos somados, já com 5 pax.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2 · Hilton Prague Old Town 5★</t>
        </is>
      </c>
      <c r="D16" s="23" t="inlineStr">
        <is>
          <t>V Celnici, junto à Praça da República, piscina coberta · 2 quartos (5 pax) · café · 3 noites</t>
        </is>
      </c>
      <c r="E16" s="23" t="inlineStr">
        <is>
          <t>07/01 → 10/01</t>
        </is>
      </c>
      <c r="F16" s="23" t="n">
        <v>5</v>
      </c>
      <c r="G16" s="25" t="inlineStr"/>
      <c r="H16" s="25" t="inlineStr">
        <is>
          <t>EUR</t>
        </is>
      </c>
      <c r="I16" s="26" t="n"/>
      <c r="J16" s="25" t="n">
        <v>3</v>
      </c>
      <c r="K16" s="27">
        <f>IF(I16="","",I16*J16)</f>
        <v/>
      </c>
      <c r="L16" s="28" t="inlineStr">
        <is>
          <t>€ 1.041 · 3 noites · 2 quartos · 3 adultos + 2 crianças</t>
        </is>
      </c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A cotar</t>
        </is>
      </c>
      <c r="P16" s="30" t="inlineStr"/>
    </row>
    <row r="17">
      <c r="A17" s="23" t="n">
        <v>13</v>
      </c>
      <c r="B17" s="23" t="inlineStr">
        <is>
          <t>Hotel</t>
        </is>
      </c>
      <c r="C17" s="24" t="inlineStr">
        <is>
          <t>Paris · Opção 1 · Castille Paris 5★</t>
        </is>
      </c>
      <c r="D17" s="23" t="inlineStr">
        <is>
          <t>Rue Cambon, 1º arr., entre Louvre e Madeleine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€ 1.509 · 2 noites · 2 quartos · 3 adultos + 2 crianças</t>
        </is>
      </c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>
        <is>
          <t>Valor unitário = diária dos 2 quartos somados.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2 · Hôtel Napoleon Paris 5★</t>
        </is>
      </c>
      <c r="D18" s="23" t="inlineStr">
        <is>
          <t>Av. de Friedland, 8º arr., a 100 m do Arco do Triunfo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€ 1.593 · 2 noites · 2 quartos · 3 adultos + 2 crianças</t>
        </is>
      </c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/>
    </row>
    <row r="19">
      <c r="A19" s="23" t="n">
        <v>15</v>
      </c>
      <c r="B19" s="23" t="inlineStr">
        <is>
          <t>Trem</t>
        </is>
      </c>
      <c r="C19" s="24" t="inlineStr">
        <is>
          <t>Railjet Budapeste → Viena · 4 pax</t>
        </is>
      </c>
      <c r="D19" s="23" t="inlineStr">
        <is>
          <t>Budapest-Keleti → Wien Hbf · 2h40 · 1ª classe · assentos marcados</t>
        </is>
      </c>
      <c r="E19" s="23" t="inlineStr">
        <is>
          <t>03/01</t>
        </is>
      </c>
      <c r="F19" s="23" t="n">
        <v>4</v>
      </c>
      <c r="G19" s="25" t="inlineStr"/>
      <c r="H19" s="25" t="inlineStr">
        <is>
          <t>EUR</t>
        </is>
      </c>
      <c r="I19" s="26" t="n"/>
      <c r="J19" s="25" t="n">
        <v>4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A cotar</t>
        </is>
      </c>
      <c r="P19" s="30" t="inlineStr">
        <is>
          <t>Valor unitário = por passageiro. Abre venda ~180 dias antes; tarifa Sparschiene é a mais barata.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Viena → Praga · 5 pax</t>
        </is>
      </c>
      <c r="D20" s="23" t="inlineStr">
        <is>
          <t>Wien Hbf → Praha hl.n. · 4h · 1ª classe · assentos marcados</t>
        </is>
      </c>
      <c r="E20" s="23" t="inlineStr">
        <is>
          <t>07/01</t>
        </is>
      </c>
      <c r="F20" s="23" t="n">
        <v>5</v>
      </c>
      <c r="G20" s="25" t="inlineStr"/>
      <c r="H20" s="25" t="inlineStr">
        <is>
          <t>EUR</t>
        </is>
      </c>
      <c r="I20" s="26" t="n"/>
      <c r="J20" s="25" t="n">
        <v>5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A cotar</t>
        </is>
      </c>
      <c r="P20" s="30" t="inlineStr">
        <is>
          <t>Valor unitário = por passageiro.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aeroporto → hotel · 4 pax</t>
        </is>
      </c>
      <c r="D21" s="23" t="inlineStr">
        <is>
          <t>Van privativa com recepção no desembarque</t>
        </is>
      </c>
      <c r="E21" s="23" t="inlineStr">
        <is>
          <t>30/12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Valor unitário = por veículo.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hotel → estação Keleti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estação Hbf → hotel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aeroporto → hotel · filho · 1 pax</t>
        </is>
      </c>
      <c r="D24" s="23" t="inlineStr">
        <is>
          <t>Motorista com placa no desembarque · reforçar: menor viajando só</t>
        </is>
      </c>
      <c r="E24" s="23" t="inlineStr">
        <is>
          <t>05/01</t>
        </is>
      </c>
      <c r="F24" s="23" t="n">
        <v>1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hotel → estação Hbf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estação hl.n. → hotel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hotel → aeroporto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CDG → hotel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hotel → CDG · 5 pax</t>
        </is>
      </c>
      <c r="D29" s="23" t="inlineStr">
        <is>
          <t>Van privativa</t>
        </is>
      </c>
      <c r="E29" s="23" t="inlineStr">
        <is>
          <t>12/01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Experiência</t>
        </is>
      </c>
      <c r="C30" s="24" t="inlineStr">
        <is>
          <t>Réveillon · jantar de gala em cruzeiro no Danúbio · 4 pax</t>
        </is>
      </c>
      <c r="D30" s="23" t="inlineStr">
        <is>
          <t>Embarque ~22h, jantar de vários pratos, música ao vivo, brinde à meia-noite, desembarque ~1h–2h</t>
        </is>
      </c>
      <c r="E30" s="23" t="inlineStr">
        <is>
          <t>31/12</t>
        </is>
      </c>
      <c r="F30" s="23" t="n">
        <v>4</v>
      </c>
      <c r="G30" s="25" t="inlineStr"/>
      <c r="H30" s="25" t="inlineStr">
        <is>
          <t>EUR</t>
        </is>
      </c>
      <c r="I30" s="26" t="n"/>
      <c r="J30" s="25" t="n">
        <v>4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>
        <is>
          <t>Valor unitário = por pessoa. Esgota em novembro. Confirmar menu para adolescentes.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Tokaj · motorista-guia privativo · dia inteiro · 4 pax</t>
        </is>
      </c>
      <c r="D31" s="23" t="inlineStr">
        <is>
          <t>Saída 8h de Budapeste, Oremus (Tolcsva) + segunda vinícola + almoço em Mád/Tarcal, retorno ~19h</t>
        </is>
      </c>
      <c r="E31" s="23" t="inlineStr">
        <is>
          <t>02/01</t>
        </is>
      </c>
      <c r="F31" s="23" t="n">
        <v>4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>
        <is>
          <t>Valor unitário = por veículo/dia. Motorista não bebe: tolerância zero na Hungria.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Oremus · visita à adega e prova · 2 adultos</t>
        </is>
      </c>
      <c r="D32" s="23" t="inlineStr">
        <is>
          <t>Agendamento por e-mail · ~1h · adolescentes acompanham sem álcool</t>
        </is>
      </c>
      <c r="E32" s="23" t="inlineStr">
        <is>
          <t>02/01</t>
        </is>
      </c>
      <c r="F32" s="23" t="n">
        <v>2</v>
      </c>
      <c r="G32" s="25" t="inlineStr"/>
      <c r="H32" s="25" t="inlineStr">
        <is>
          <t>EUR</t>
        </is>
      </c>
      <c r="I32" s="26" t="n"/>
      <c r="J32" s="25" t="n">
        <v>2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>
        <is>
          <t>Valor unitário = por pessoa. Confirmar recepção no sábado 02/01. Plano B: segunda 04/01.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Almoço em vinícola ou restaurante em Tokaj · 4 pax</t>
        </is>
      </c>
      <c r="D33" s="23" t="inlineStr">
        <is>
          <t>Mád ou Tarcal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4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Pode vir incluído no pacote do motorista-guia.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Termas Széchenyi · 4 pax</t>
        </is>
      </c>
      <c r="D34" s="23" t="inlineStr">
        <is>
          <t>Ingresso dia inteiro com cabine · aberto em 01/01</t>
        </is>
      </c>
      <c r="E34" s="23" t="inlineStr">
        <is>
          <t>01/01</t>
        </is>
      </c>
      <c r="F34" s="23" t="n">
        <v>4</v>
      </c>
      <c r="G34" s="25" t="inlineStr"/>
      <c r="H34" s="25" t="inlineStr">
        <is>
          <t>EUR</t>
        </is>
      </c>
      <c r="I34" s="26" t="n"/>
      <c r="J34" s="25" t="n">
        <v>4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A cotar</t>
        </is>
      </c>
      <c r="P34" s="30" t="inlineStr"/>
    </row>
    <row r="35">
      <c r="A35" s="23" t="n">
        <v>31</v>
      </c>
      <c r="B35" s="23" t="inlineStr">
        <is>
          <t>Experiência</t>
        </is>
      </c>
      <c r="C35" s="24" t="inlineStr">
        <is>
          <t>Schönbrunn · Grand Tour · 4 pax</t>
        </is>
      </c>
      <c r="D35" s="23" t="inlineStr">
        <is>
          <t>Entrada com hora marcada · mercado de Ano Novo no pátio até 06/01</t>
        </is>
      </c>
      <c r="E35" s="23" t="inlineStr">
        <is>
          <t>04/01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/>
    </row>
    <row r="36">
      <c r="A36" s="23" t="n">
        <v>32</v>
      </c>
      <c r="B36" s="23" t="inlineStr">
        <is>
          <t>Experiência</t>
        </is>
      </c>
      <c r="C36" s="24" t="inlineStr">
        <is>
          <t>Concerto Orquestra do Hofburg ou Musikverein · 4 pax</t>
        </is>
      </c>
      <c r="D36" s="23" t="inlineStr">
        <is>
          <t>Strauss e Mozart · categoria de assento a definir</t>
        </is>
      </c>
      <c r="E36" s="23" t="inlineStr">
        <is>
          <t>04/01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Concerto de Ano Novo da Filarmônica (01/01) é por sorteio já encerrado.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Prater · Roda Gigante · 5 pax</t>
        </is>
      </c>
      <c r="D37" s="23" t="inlineStr">
        <is>
          <t>Ingresso · mercado de inverno na praça até 06/01</t>
        </is>
      </c>
      <c r="E37" s="23" t="inlineStr">
        <is>
          <t>05/01</t>
        </is>
      </c>
      <c r="F37" s="23" t="n">
        <v>5</v>
      </c>
      <c r="G37" s="25" t="inlineStr"/>
      <c r="H37" s="25" t="inlineStr">
        <is>
          <t>EUR</t>
        </is>
      </c>
      <c r="I37" s="26" t="n"/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Belvedere Superior · 5 pax</t>
        </is>
      </c>
      <c r="D38" s="23" t="inlineStr">
        <is>
          <t>Ingresso · O Beijo de Klimt</t>
        </is>
      </c>
      <c r="E38" s="23" t="inlineStr">
        <is>
          <t>06/01</t>
        </is>
      </c>
      <c r="F38" s="23" t="n">
        <v>5</v>
      </c>
      <c r="G38" s="25" t="inlineStr"/>
      <c r="H38" s="25" t="inlineStr">
        <is>
          <t>EUR</t>
        </is>
      </c>
      <c r="I38" s="26" t="n"/>
      <c r="J38" s="25" t="n">
        <v>5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/>
    </row>
    <row r="39">
      <c r="A39" s="23" t="n">
        <v>35</v>
      </c>
      <c r="B39" s="23" t="inlineStr">
        <is>
          <t>Experiência</t>
        </is>
      </c>
      <c r="C39" s="24" t="inlineStr">
        <is>
          <t>Opcional · Ópera Estatal de Viena · 5 pax</t>
        </is>
      </c>
      <c r="D39" s="23" t="inlineStr">
        <is>
          <t>Récita da noite · verificar programa de 06/01</t>
        </is>
      </c>
      <c r="E39" s="23" t="inlineStr">
        <is>
          <t>06/01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Não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>
        <is>
          <t>Só entra se o cliente pedir.</t>
        </is>
      </c>
    </row>
    <row r="40">
      <c r="A40" s="23" t="n">
        <v>36</v>
      </c>
      <c r="B40" s="23" t="inlineStr">
        <is>
          <t>Experiência</t>
        </is>
      </c>
      <c r="C40" s="24" t="inlineStr">
        <is>
          <t>Castelo de Praga · circuito B · 5 pax</t>
        </is>
      </c>
      <c r="D40" s="23" t="inlineStr">
        <is>
          <t>Catedral de São Vito, Palácio Real Antigo, Ruela Dourada</t>
        </is>
      </c>
      <c r="E40" s="23" t="inlineStr">
        <is>
          <t>08/01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Teatro de luz negra · 5 pax</t>
        </is>
      </c>
      <c r="D41" s="23" t="inlineStr">
        <is>
          <t>Sessão da noite</t>
        </is>
      </c>
      <c r="E41" s="23" t="inlineStr">
        <is>
          <t>08/01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Sim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/>
    </row>
    <row r="42">
      <c r="A42" s="23" t="n">
        <v>38</v>
      </c>
      <c r="B42" s="23" t="inlineStr">
        <is>
          <t>Experiência</t>
        </is>
      </c>
      <c r="C42" s="24" t="inlineStr">
        <is>
          <t>Torre Eiffel · topo · 5 pax</t>
        </is>
      </c>
      <c r="D42" s="23" t="inlineStr">
        <is>
          <t>Entrada com hora marcada · abre venda 60 dias antes</t>
        </is>
      </c>
      <c r="E42" s="23" t="inlineStr">
        <is>
          <t>10/01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5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>
        <is>
          <t>Reservar exatamente em 11/11 para garantir horário.</t>
        </is>
      </c>
    </row>
    <row r="43">
      <c r="A43" s="23" t="n">
        <v>39</v>
      </c>
      <c r="B43" s="23" t="inlineStr">
        <is>
          <t>Experiência</t>
        </is>
      </c>
      <c r="C43" s="24" t="inlineStr">
        <is>
          <t>Louvre · 5 pax</t>
        </is>
      </c>
      <c r="D43" s="23" t="inlineStr">
        <is>
          <t>Entrada com hora marcada · menores de 18 gratuitos</t>
        </is>
      </c>
      <c r="E43" s="23" t="inlineStr">
        <is>
          <t>11/01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2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>
        <is>
          <t>Qtd = 2 adultos pagantes.</t>
        </is>
      </c>
    </row>
    <row r="44">
      <c r="A44" s="23" t="n">
        <v>40</v>
      </c>
      <c r="B44" s="23" t="inlineStr">
        <is>
          <t>Experiência</t>
        </is>
      </c>
      <c r="C44" s="24" t="inlineStr">
        <is>
          <t>Cruzeiro no Sena com jantar · 5 pax</t>
        </is>
      </c>
      <c r="D44" s="23" t="inlineStr">
        <is>
          <t>Bateaux Parisiens ou Bateaux-Mouches · jantar da noite</t>
        </is>
      </c>
      <c r="E44" s="23" t="inlineStr">
        <is>
          <t>11/01</t>
        </is>
      </c>
      <c r="F44" s="23" t="n">
        <v>5</v>
      </c>
      <c r="G44" s="25" t="inlineStr"/>
      <c r="H44" s="25" t="inlineStr">
        <is>
          <t>EUR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/>
    </row>
    <row r="45">
      <c r="A45" s="23" t="n">
        <v>41</v>
      </c>
      <c r="B45" s="23" t="inlineStr">
        <is>
          <t>Seguro/Docs</t>
        </is>
      </c>
      <c r="C45" s="24" t="inlineStr">
        <is>
          <t>Seguro viagem · 5 pax · 15 dias</t>
        </is>
      </c>
      <c r="D45" s="23" t="inlineStr">
        <is>
          <t>Cobertura médica mínima € 30.000 (Schengen) · bagagem · cancelamento</t>
        </is>
      </c>
      <c r="E45" s="23" t="inlineStr">
        <is>
          <t>29/12 → 12/01</t>
        </is>
      </c>
      <c r="F45" s="23" t="n">
        <v>5</v>
      </c>
      <c r="G45" s="25" t="inlineStr"/>
      <c r="H45" s="25" t="inlineStr">
        <is>
          <t>BRL</t>
        </is>
      </c>
      <c r="I45" s="26" t="n"/>
      <c r="J45" s="25" t="n">
        <v>5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Valor unitário = por pessoa. Filho com vigência a partir de 04/01 pode sair mais barato.</t>
        </is>
      </c>
    </row>
    <row r="46">
      <c r="A46" s="23" t="n">
        <v>42</v>
      </c>
      <c r="B46" s="23" t="inlineStr">
        <is>
          <t>Seguro/Docs</t>
        </is>
      </c>
      <c r="C46" s="24" t="inlineStr">
        <is>
          <t>ETIAS · 2 adultos</t>
        </is>
      </c>
      <c r="D46" s="23" t="inlineStr">
        <is>
          <t>€ 20 por adulto · menores de 18 isentos · previsto para o 4º trimestre de 2026</t>
        </is>
      </c>
      <c r="E46" s="23" t="inlineStr">
        <is>
          <t>antes de 29/12</t>
        </is>
      </c>
      <c r="F46" s="23" t="n">
        <v>2</v>
      </c>
      <c r="G46" s="25" t="inlineStr"/>
      <c r="H46" s="25" t="inlineStr">
        <is>
          <t>EUR</t>
        </is>
      </c>
      <c r="I46" s="26" t="n"/>
      <c r="J46" s="25" t="n">
        <v>2</v>
      </c>
      <c r="K46" s="27">
        <f>IF(I46="","",I46*J46)</f>
        <v/>
      </c>
      <c r="L46" s="28" t="inlineStr"/>
      <c r="M46" s="25" t="inlineStr">
        <is>
          <t>Sim</t>
        </is>
      </c>
      <c r="N46" s="29">
        <f>IF(OR(M46&lt;&gt;"Sim",I46=""),0,K46*IF(H46="BRL",1,IF(H46="EUR",Parâmetros!$B$4,IF(H46="USD",Parâmetros!$B$5,1))))</f>
        <v/>
      </c>
      <c r="O46" s="25" t="inlineStr">
        <is>
          <t>A cotar</t>
        </is>
      </c>
      <c r="P46" s="30" t="inlineStr">
        <is>
          <t>Confirmar se já estará em vigor na data do embarque.</t>
        </is>
      </c>
    </row>
    <row r="47">
      <c r="A47" s="23" t="n">
        <v>43</v>
      </c>
      <c r="B47" s="23" t="inlineStr">
        <is>
          <t>Seguro/Docs</t>
        </is>
      </c>
      <c r="C47" s="24" t="inlineStr">
        <is>
          <t>Autorização de viagem do menor · cartório</t>
        </is>
      </c>
      <c r="D47" s="23" t="inlineStr">
        <is>
          <t>Reconhecimento de firma dos dois pais, 2 vias · assinar antes de 29/12</t>
        </is>
      </c>
      <c r="E47" s="23" t="inlineStr">
        <is>
          <t>antes de 29/12</t>
        </is>
      </c>
      <c r="F47" s="23" t="n">
        <v>1</v>
      </c>
      <c r="G47" s="25" t="inlineStr"/>
      <c r="H47" s="25" t="inlineStr">
        <is>
          <t>BRL</t>
        </is>
      </c>
      <c r="I47" s="26" t="n"/>
      <c r="J47" s="25" t="n">
        <v>1</v>
      </c>
      <c r="K47" s="27">
        <f>IF(I47="","",I47*J47)</f>
        <v/>
      </c>
      <c r="L47" s="28" t="inlineStr"/>
      <c r="M47" s="25" t="inlineStr">
        <is>
          <t>Sim</t>
        </is>
      </c>
      <c r="N47" s="29">
        <f>IF(OR(M47&lt;&gt;"Sim",I47=""),0,K47*IF(H47="BRL",1,IF(H47="EUR",Parâmetros!$B$4,IF(H47="USD",Parâmetros!$B$5,1))))</f>
        <v/>
      </c>
      <c r="O47" s="25" t="inlineStr">
        <is>
          <t>A cotar</t>
        </is>
      </c>
      <c r="P47" s="30" t="inlineStr">
        <is>
          <t>Custo de cartório, pago pelo cliente. Registrar aqui só para controle.</t>
        </is>
      </c>
    </row>
    <row r="48">
      <c r="A48" s="23" t="n">
        <v>44</v>
      </c>
      <c r="B48" s="23" t="inlineStr">
        <is>
          <t>Outros</t>
        </is>
      </c>
      <c r="C48" s="24" t="inlineStr">
        <is>
          <t>eSIM Europa · 5 linhas · 15 dias</t>
        </is>
      </c>
      <c r="D48" s="23" t="inlineStr">
        <is>
          <t>Dados para os cinco</t>
        </is>
      </c>
      <c r="E48" s="23" t="inlineStr">
        <is>
          <t>29/12 → 12/01</t>
        </is>
      </c>
      <c r="F48" s="23" t="n">
        <v>5</v>
      </c>
      <c r="G48" s="25" t="inlineStr"/>
      <c r="H48" s="25" t="inlineStr">
        <is>
          <t>BRL</t>
        </is>
      </c>
      <c r="I48" s="26" t="n"/>
      <c r="J48" s="25" t="n">
        <v>5</v>
      </c>
      <c r="K48" s="27">
        <f>IF(I48="","",I48*J48)</f>
        <v/>
      </c>
      <c r="L48" s="28" t="inlineStr"/>
      <c r="M48" s="25" t="inlineStr">
        <is>
          <t>Sim</t>
        </is>
      </c>
      <c r="N48" s="29">
        <f>IF(OR(M48&lt;&gt;"Sim",I48=""),0,K48*IF(H48="BRL",1,IF(H48="EUR",Parâmetros!$B$4,IF(H48="USD",Parâmetros!$B$5,1))))</f>
        <v/>
      </c>
      <c r="O48" s="25" t="inlineStr">
        <is>
          <t>A cotar</t>
        </is>
      </c>
      <c r="P48" s="30" t="inlineStr"/>
    </row>
    <row r="49"/>
    <row r="50">
      <c r="C50" s="21" t="inlineStr">
        <is>
          <t>SUBTOTAL EM R$ (itens marcados como Sim)</t>
        </is>
      </c>
      <c r="N50" s="31">
        <f>SUM(N5:N48)</f>
        <v/>
      </c>
    </row>
    <row r="51">
      <c r="C51" s="12" t="inlineStr">
        <is>
          <t>Taxa de serviço LusaTravel</t>
        </is>
      </c>
      <c r="N51" s="13">
        <f>N50*Parâmetros!$B$10</f>
        <v/>
      </c>
    </row>
    <row r="52">
      <c r="A52" s="32" t="n"/>
      <c r="B52" s="32" t="n"/>
      <c r="C52" s="33" t="inlineStr">
        <is>
          <t>TOTAL PARA O CLIENTE</t>
        </is>
      </c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4">
        <f>N50+N51</f>
        <v/>
      </c>
      <c r="O52" s="32" t="n"/>
      <c r="P52" s="32" t="n"/>
    </row>
    <row r="53">
      <c r="C53" s="2" t="inlineStr">
        <is>
          <t>*Nada reservado, apenas cotado.</t>
        </is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autoFilter ref="A4:P48"/>
  <dataValidations count="3">
    <dataValidation sqref="O5:O48" showDropDown="0" showInputMessage="0" showErrorMessage="0" allowBlank="1" type="list">
      <formula1>"A cotar,Cotado,Aprovado pelo cliente,Reservado,Descartado"</formula1>
    </dataValidation>
    <dataValidation sqref="M5:M48" showDropDown="0" showInputMessage="0" showErrorMessage="0" allowBlank="0" type="list">
      <formula1>"Sim,Não"</formula1>
    </dataValidation>
    <dataValidation sqref="H5:H48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2026-09-21T14:17:30Z</dcterms:modified>
</cp:coreProperties>
</file>