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COUNTIF(Cotação!$B$5:$B$40,A5)</f>
        <v/>
      </c>
      <c r="C5" s="5">
        <f>COUNTIFS(Cotação!$B$5:$B$40,A5,Cotação!$O$5:$O$40,"A cotar")</f>
        <v/>
      </c>
      <c r="D5" s="5">
        <f>COUNTIFS(Cotação!$B$5:$B$40,A5,Cotação!$O$5:$O$40,"&lt;&gt;A cotar")</f>
        <v/>
      </c>
      <c r="E5" s="6">
        <f>SUMIF(Cotação!$B$5:$B$40,A5,Cotação!$N$5:$N$40)</f>
        <v/>
      </c>
    </row>
    <row r="6">
      <c r="A6" s="4" t="inlineStr">
        <is>
          <t>Hotel</t>
        </is>
      </c>
      <c r="B6" s="5">
        <f>COUNTIF(Cotação!$B$5:$B$40,A6)</f>
        <v/>
      </c>
      <c r="C6" s="5">
        <f>COUNTIFS(Cotação!$B$5:$B$40,A6,Cotação!$O$5:$O$40,"A cotar")</f>
        <v/>
      </c>
      <c r="D6" s="5">
        <f>COUNTIFS(Cotação!$B$5:$B$40,A6,Cotação!$O$5:$O$40,"&lt;&gt;A cotar")</f>
        <v/>
      </c>
      <c r="E6" s="6">
        <f>SUMIF(Cotação!$B$5:$B$40,A6,Cotação!$N$5:$N$40)</f>
        <v/>
      </c>
    </row>
    <row r="7">
      <c r="A7" s="4" t="inlineStr">
        <is>
          <t>Trem</t>
        </is>
      </c>
      <c r="B7" s="5">
        <f>COUNTIF(Cotação!$B$5:$B$40,A7)</f>
        <v/>
      </c>
      <c r="C7" s="5">
        <f>COUNTIFS(Cotação!$B$5:$B$40,A7,Cotação!$O$5:$O$40,"A cotar")</f>
        <v/>
      </c>
      <c r="D7" s="5">
        <f>COUNTIFS(Cotação!$B$5:$B$40,A7,Cotação!$O$5:$O$40,"&lt;&gt;A cotar")</f>
        <v/>
      </c>
      <c r="E7" s="6">
        <f>SUMIF(Cotação!$B$5:$B$40,A7,Cotação!$N$5:$N$40)</f>
        <v/>
      </c>
    </row>
    <row r="8">
      <c r="A8" s="4" t="inlineStr">
        <is>
          <t>Transfer</t>
        </is>
      </c>
      <c r="B8" s="5">
        <f>COUNTIF(Cotação!$B$5:$B$40,A8)</f>
        <v/>
      </c>
      <c r="C8" s="5">
        <f>COUNTIFS(Cotação!$B$5:$B$40,A8,Cotação!$O$5:$O$40,"A cotar")</f>
        <v/>
      </c>
      <c r="D8" s="5">
        <f>COUNTIFS(Cotação!$B$5:$B$40,A8,Cotação!$O$5:$O$40,"&lt;&gt;A cotar")</f>
        <v/>
      </c>
      <c r="E8" s="6">
        <f>SUMIF(Cotação!$B$5:$B$40,A8,Cotação!$N$5:$N$40)</f>
        <v/>
      </c>
    </row>
    <row r="9">
      <c r="A9" s="4" t="inlineStr">
        <is>
          <t>Experiência</t>
        </is>
      </c>
      <c r="B9" s="5">
        <f>COUNTIF(Cotação!$B$5:$B$40,A9)</f>
        <v/>
      </c>
      <c r="C9" s="5">
        <f>COUNTIFS(Cotação!$B$5:$B$40,A9,Cotação!$O$5:$O$40,"A cotar")</f>
        <v/>
      </c>
      <c r="D9" s="5">
        <f>COUNTIFS(Cotação!$B$5:$B$40,A9,Cotação!$O$5:$O$40,"&lt;&gt;A cotar")</f>
        <v/>
      </c>
      <c r="E9" s="6">
        <f>SUMIF(Cotação!$B$5:$B$40,A9,Cotação!$N$5:$N$40)</f>
        <v/>
      </c>
    </row>
    <row r="10">
      <c r="A10" s="4" t="inlineStr">
        <is>
          <t>Seguro/Docs</t>
        </is>
      </c>
      <c r="B10" s="5">
        <f>COUNTIF(Cotação!$B$5:$B$40,A10)</f>
        <v/>
      </c>
      <c r="C10" s="5">
        <f>COUNTIFS(Cotação!$B$5:$B$40,A10,Cotação!$O$5:$O$40,"A cotar")</f>
        <v/>
      </c>
      <c r="D10" s="5">
        <f>COUNTIFS(Cotação!$B$5:$B$40,A10,Cotação!$O$5:$O$40,"&lt;&gt;A cotar")</f>
        <v/>
      </c>
      <c r="E10" s="6">
        <f>SUMIF(Cotação!$B$5:$B$40,A10,Cotação!$N$5:$N$40)</f>
        <v/>
      </c>
    </row>
    <row r="11">
      <c r="A11" s="4" t="inlineStr">
        <is>
          <t>Outros</t>
        </is>
      </c>
      <c r="B11" s="5">
        <f>COUNTIF(Cotação!$B$5:$B$40,A11)</f>
        <v/>
      </c>
      <c r="C11" s="5">
        <f>COUNTIFS(Cotação!$B$5:$B$40,A11,Cotação!$O$5:$O$40,"A cotar")</f>
        <v/>
      </c>
      <c r="D11" s="5">
        <f>COUNTIFS(Cotação!$B$5:$B$40,A11,Cotação!$O$5:$O$40,"&lt;&gt;A cotar")</f>
        <v/>
      </c>
      <c r="E11" s="6">
        <f>SUMIF(Cotação!$B$5:$B$40,A11,Cotação!$N$5:$N$40)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5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 · Opção A · volta 12/01 12:05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 Nesta opção o filho viaja em voos diferentes em 10/01 e 12/01 (chega ao Brasil em 13/01 de manhã).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internacional · 4 pax · Opção B · volta 12/01 23:20, junto com o filho</t>
        </is>
      </c>
      <c r="D6" s="23" t="inlineStr">
        <is>
          <t>Mesma ida (LA1579 + IB869) · AF1383 PRG 10/01 12:10 → CDG 14:05 · AF454 CDG 12/01 23:20 → GRU 13/01 07:20 · os cinco nos mesmos voos em 10/01 e 12/01 · dia 12 inteiro em Paris</t>
        </is>
      </c>
      <c r="E6" s="23" t="inlineStr">
        <is>
          <t>29/12 e 12/01</t>
        </is>
      </c>
      <c r="F6" s="23" t="n">
        <v>4</v>
      </c>
      <c r="G6" s="25" t="n"/>
      <c r="H6" s="25" t="inlineStr">
        <is>
          <t>BRL</t>
        </is>
      </c>
      <c r="I6" s="26" t="n"/>
      <c r="J6" s="25" t="n">
        <v>4</v>
      </c>
      <c r="K6" s="27">
        <f>IF(I6="","",I6*J6)</f>
        <v/>
      </c>
      <c r="L6" s="28" t="n"/>
      <c r="M6" s="25" t="inlineStr">
        <is>
          <t>Não</t>
        </is>
      </c>
      <c r="N6" s="29">
        <f>IF(OR(M6&lt;&gt;"Sim",I6=""),0,K6*IF(H6="BRL",1,IF(H6="EUR",Parâmetros!$B$4,IF(H6="USD",Parâmetros!$B$5,1))))</f>
        <v/>
      </c>
      <c r="O6" s="25" t="inlineStr">
        <is>
          <t>A cotar</t>
        </is>
      </c>
      <c r="P6" s="30" t="inlineStr">
        <is>
          <t>A recotar com o consolidador. Decisão do cliente: chegar ao Brasil na noite de 12/01 separado do filho, ou na manhã de 13/01 com ele.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Aéreo do filho · 1 pax</t>
        </is>
      </c>
      <c r="D7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7" s="23" t="inlineStr">
        <is>
          <t>04/01 e 12/01</t>
        </is>
      </c>
      <c r="F7" s="23" t="n">
        <v>1</v>
      </c>
      <c r="G7" s="25" t="inlineStr">
        <is>
          <t>Air France (consolidador)</t>
        </is>
      </c>
      <c r="H7" s="25" t="inlineStr">
        <is>
          <t>BRL</t>
        </is>
      </c>
      <c r="I7" s="26" t="n">
        <v>12056.63</v>
      </c>
      <c r="J7" s="25" t="n">
        <v>1</v>
      </c>
      <c r="K7" s="27">
        <f>IF(I7="","",I7*J7)</f>
        <v/>
      </c>
      <c r="L7" s="28" t="inlineStr"/>
      <c r="M7" s="25" t="inlineStr">
        <is>
          <t>Sim</t>
        </is>
      </c>
      <c r="N7" s="29">
        <f>IF(OR(M7&lt;&gt;"Sim",I7=""),0,K7*IF(H7="BRL",1,IF(H7="EUR",Parâmetros!$B$4,IF(H7="USD",Parâmetros!$B$5,1))))</f>
        <v/>
      </c>
      <c r="O7" s="25" t="inlineStr">
        <is>
          <t>Cotado</t>
        </is>
      </c>
      <c r="P7" s="30" t="inlineStr">
        <is>
          <t>Recotação de 20/09: R$ 12.056,63 (USD 2.337,69). Com a Opção A dos 4, ele viaja separado em 10/01 e 12/01; com a Opção B, os cinco viajam juntos.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Voo Praga → Paris · filho · 1 pax</t>
        </is>
      </c>
      <c r="D8" s="23" t="inlineStr">
        <is>
          <t>PRG → CDG 10/01 · os 4 já estão no bilhete internacional (AF1183) · ideal: mesmo voo AF1183 09:50</t>
        </is>
      </c>
      <c r="E8" s="23" t="inlineStr">
        <is>
          <t>10/01</t>
        </is>
      </c>
      <c r="F8" s="23" t="n">
        <v>1</v>
      </c>
      <c r="G8" s="25" t="inlineStr"/>
      <c r="H8" s="25" t="inlineStr">
        <is>
          <t>EUR</t>
        </is>
      </c>
      <c r="I8" s="26" t="n"/>
      <c r="J8" s="25" t="n">
        <v>1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Descartado</t>
        </is>
      </c>
      <c r="P8" s="30" t="inlineStr">
        <is>
          <t>Incluído no multitrecho do filho (AF1383). Não cotar à parte.</t>
        </is>
      </c>
    </row>
    <row r="9">
      <c r="A9" s="23" t="n">
        <v>5</v>
      </c>
      <c r="B9" s="23" t="inlineStr">
        <is>
          <t>Aéreo</t>
        </is>
      </c>
      <c r="C9" s="24" t="inlineStr">
        <is>
          <t>Opcional · upgrade de cabine</t>
        </is>
      </c>
      <c r="D9" s="23" t="inlineStr">
        <is>
          <t>Diferença para Premium Economy ou Executiva no trecho internacional · 5 pax</t>
        </is>
      </c>
      <c r="E9" s="23" t="inlineStr">
        <is>
          <t>29/12, 04/01 e 12/01</t>
        </is>
      </c>
      <c r="F9" s="23" t="n">
        <v>5</v>
      </c>
      <c r="G9" s="25" t="inlineStr"/>
      <c r="H9" s="25" t="inlineStr">
        <is>
          <t>BRL</t>
        </is>
      </c>
      <c r="I9" s="26" t="n"/>
      <c r="J9" s="25" t="n">
        <v>5</v>
      </c>
      <c r="K9" s="27">
        <f>IF(I9="","",I9*J9)</f>
        <v/>
      </c>
      <c r="L9" s="28" t="inlineStr"/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A cotar</t>
        </is>
      </c>
      <c r="P9" s="30" t="inlineStr">
        <is>
          <t>Só entra no total se o cliente pedir.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1 · Barceló Budapest 4★</t>
        </is>
      </c>
      <c r="D10" s="23" t="inlineStr">
        <is>
          <t>Király utca, Terézváros, a 5 min da Basílica · 2 quartos Superior Double · café da manhã · 3 noites</t>
        </is>
      </c>
      <c r="E10" s="23" t="inlineStr">
        <is>
          <t>30/12 → 02/01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8400</v>
      </c>
      <c r="J10" s="25" t="n">
        <v>2</v>
      </c>
      <c r="K10" s="27">
        <f>IF(I10="","",I10*J10)</f>
        <v/>
      </c>
      <c r="L10" s="28" t="inlineStr">
        <is>
          <t>Booking 20/09: R$ 15.136 pelas 2 quartos/4 noites no mesmo hotel · InterContinental 5★ € 2.398 · Corinthia 5★ € 2.939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A cotar</t>
        </is>
      </c>
      <c r="P10" s="30" t="inlineStr">
        <is>
          <t>Valor lançado é o das 4 noites. Pedir recotação para 3 noites (30/12 → 02/01); tarifa de Réveillon não é proporcional.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2 · Mercure Budapest City Center 4★</t>
        </is>
      </c>
      <c r="D11" s="23" t="inlineStr">
        <is>
          <t>Váci utca, coração de Pest, pedestre · 2 quartos Superior · café da manhã · 3 noites</t>
        </is>
      </c>
      <c r="E11" s="23" t="inlineStr">
        <is>
          <t>30/12 → 02/01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6700</v>
      </c>
      <c r="J11" s="25" t="n">
        <v>2</v>
      </c>
      <c r="K11" s="27">
        <f>IF(I11="","",I11*J11)</f>
        <v/>
      </c>
      <c r="L11" s="28" t="inlineStr">
        <is>
          <t>Booking 20/09: R$ 11.016 pelos 2 quartos/4 noites no mesmo hotel</t>
        </is>
      </c>
      <c r="M11" s="25" t="inlineStr">
        <is>
          <t>Não</t>
        </is>
      </c>
      <c r="N11" s="29">
        <f>IF(OR(M11&lt;&gt;"Sim",I11=""),0,K11*IF(H11="BRL",1,IF(H11="EUR",Parâmetros!$B$4,IF(H11="USD",Parâmetros!$B$5,1))))</f>
        <v/>
      </c>
      <c r="O11" s="25" t="inlineStr">
        <is>
          <t>A cotar</t>
        </is>
      </c>
      <c r="P11" s="30" t="inlineStr">
        <is>
          <t>Valor lançado é o das 4 noites. Pedir recotação para 3 noites (30/12 → 02/01); tarifa de Réveillon não é proporcional.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Budapeste · Opção 3 · InterContinental Budapest 5★</t>
        </is>
      </c>
      <c r="D12" s="23" t="inlineStr">
        <is>
          <t>Margem do Danúbio, vista para o Castelo e a Ponte das Correntes · 2 quartos Classic · café da manhã · 3 noites</t>
        </is>
      </c>
      <c r="E12" s="23" t="inlineStr">
        <is>
          <t>30/12 → 02/01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8690</v>
      </c>
      <c r="J12" s="25" t="n">
        <v>2</v>
      </c>
      <c r="K12" s="27">
        <f>IF(I12="","",I12*J12)</f>
        <v/>
      </c>
      <c r="L12" s="28" t="inlineStr">
        <is>
          <t>Booking 20/09: € 2.398 (≈ R$ 14.172) pelos 2 quartos/4 noites no mesmo hotel, tarifa mais barata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A cotar</t>
        </is>
      </c>
      <c r="P12" s="30" t="inlineStr">
        <is>
          <t>Valor lançado é o das 4 noites. Pedir recotação para 3 noites (30/12 → 02/01); tarifa de Réveillon não é proporcional.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Tokaj · Minaro Hotel Tokaj, MGallery 5★</t>
        </is>
      </c>
      <c r="D13" s="23" t="inlineStr">
        <is>
          <t>Tokaj, à beira do rio Bodrog, a 5 min da estação · 2 quartos duplos · café da manhã · 1 noite</t>
        </is>
      </c>
      <c r="E13" s="23" t="inlineStr">
        <is>
          <t>02/01 → 03/01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/>
      <c r="J13" s="25" t="n">
        <v>1</v>
      </c>
      <c r="K13" s="27">
        <f>IF(I13="","",I13*J13)</f>
        <v/>
      </c>
      <c r="L13" s="28" t="n"/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A cotar</t>
        </is>
      </c>
      <c r="P13" s="30" t="inlineStr">
        <is>
          <t>Substitui a 4ª noite de Budapeste. Valor unitário = diária dos 2 quartos somados.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1 · Steigenberger Icon Herrenhof 5★</t>
        </is>
      </c>
      <c r="D14" s="23" t="inlineStr">
        <is>
          <t>Herrengasse, Innere Stadt, a 5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5910</v>
      </c>
      <c r="J14" s="25" t="n">
        <v>4</v>
      </c>
      <c r="K14" s="27">
        <f>IF(I14="","",I14*J14)</f>
        <v/>
      </c>
      <c r="L14" s="28" t="inlineStr">
        <is>
          <t>Booking 20/09: € 1.862 (≈ R$ 11.004) por 2 quartos standard/4 noites no mesmo hotel</t>
        </is>
      </c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Opção 2 · Radisson Blu Style Hotel 5★</t>
        </is>
      </c>
      <c r="D15" s="23" t="inlineStr">
        <is>
          <t>Herrengasse 12, Innere Stadt, design, a 3 min do Hofburg · 1 Junior Suite + 1 Superior Room · café da manhã · 4 noites</t>
        </is>
      </c>
      <c r="E15" s="23" t="inlineStr">
        <is>
          <t>03/01 → 07/01</t>
        </is>
      </c>
      <c r="F15" s="23" t="n">
        <v>4</v>
      </c>
      <c r="G15" s="25" t="inlineStr">
        <is>
          <t>Consolidador (a nomear)</t>
        </is>
      </c>
      <c r="H15" s="25" t="inlineStr">
        <is>
          <t>BRL</t>
        </is>
      </c>
      <c r="I15" s="26" t="n">
        <v>4768</v>
      </c>
      <c r="J15" s="25" t="n">
        <v>4</v>
      </c>
      <c r="K15" s="27">
        <f>IF(I15="","",I15*J15)</f>
        <v/>
      </c>
      <c r="L15" s="28" t="inlineStr">
        <is>
          <t>Booking 20/09: R$ 12.034 por 2 quartos standard/4 noites no mesmo hotel</t>
        </is>
      </c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Cotado</t>
        </is>
      </c>
      <c r="P15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Viena · cama extra ou 3º quarto para o filho</t>
        </is>
      </c>
      <c r="D16" s="23" t="inlineStr">
        <is>
          <t>2 noites, a partir da chegada em 05/01, no hotel escolhido</t>
        </is>
      </c>
      <c r="E16" s="23" t="inlineStr">
        <is>
          <t>05/01 → 07/01</t>
        </is>
      </c>
      <c r="F16" s="23" t="n">
        <v>1</v>
      </c>
      <c r="G16" s="25" t="inlineStr"/>
      <c r="H16" s="25" t="inlineStr">
        <is>
          <t>EUR</t>
        </is>
      </c>
      <c r="I16" s="26" t="n"/>
      <c r="J16" s="25" t="n">
        <v>2</v>
      </c>
      <c r="K16" s="27">
        <f>IF(I16="","",I16*J16)</f>
        <v/>
      </c>
      <c r="L16" s="28" t="inlineStr"/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Descartado</t>
        </is>
      </c>
      <c r="P16" s="30" t="inlineStr">
        <is>
          <t>Desnecessária: a Junior Suite das duas opções comporta o filho.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1 · The Emblem Prague Hotel 5★</t>
        </is>
      </c>
      <c r="D17" s="23" t="inlineStr">
        <is>
          <t>Platnéřská, Cidade Velha, a 2 min da Praça da Cidade Velha, spa na cobertura · 1 Suite Pretender + 1 Queen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3335</v>
      </c>
      <c r="J17" s="25" t="n">
        <v>3</v>
      </c>
      <c r="K17" s="27">
        <f>IF(I17="","",I17*J17)</f>
        <v/>
      </c>
      <c r="L17" s="28" t="inlineStr">
        <is>
          <t>Booking 20/09, outros hotéis: Art Nouveau Palace 5★ € 812 · Hilton Old Town 5★ € 1.041 por 2 quartos/3 noites (5 pax)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Praga · Opção 2 · Century Old Town Prague, MGallery 4★</t>
        </is>
      </c>
      <c r="D18" s="23" t="inlineStr">
        <is>
          <t>Na Poříčí, prédio onde Kafka trabalhou, a 8 min da Praça da Cidade Velha · 1 Executive + 1 Classic Room · café da manhã · 3 noites</t>
        </is>
      </c>
      <c r="E18" s="23" t="inlineStr">
        <is>
          <t>07/01 → 10/01</t>
        </is>
      </c>
      <c r="F18" s="23" t="n">
        <v>5</v>
      </c>
      <c r="G18" s="25" t="inlineStr">
        <is>
          <t>Consolidador (a nomear)</t>
        </is>
      </c>
      <c r="H18" s="25" t="inlineStr">
        <is>
          <t>BRL</t>
        </is>
      </c>
      <c r="I18" s="26" t="n">
        <v>2675</v>
      </c>
      <c r="J18" s="25" t="n">
        <v>3</v>
      </c>
      <c r="K18" s="27">
        <f>IF(I18="","",I18*J18)</f>
        <v/>
      </c>
      <c r="L18" s="28" t="n"/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Cotado</t>
        </is>
      </c>
      <c r="P18" s="30" t="inlineStr">
        <is>
          <t>Cotação de 21/09: Executive R$ 4.645 + Classic R$ 3.380 = R$ 8.025 pelas 3 noites (R$ 2.675/noite). Suíte comporta 3.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>Paris · Opção 1 · Hôtel François 1er 4★</t>
        </is>
      </c>
      <c r="D19" s="23" t="inlineStr">
        <is>
          <t>Rue Magellan, 8º arr., a 2 min da Champs-Élysées · 1 Executive Room + 1 Classic Double · café da manhã · 2 noites</t>
        </is>
      </c>
      <c r="E19" s="23" t="inlineStr">
        <is>
          <t>10/01 → 12/01</t>
        </is>
      </c>
      <c r="F19" s="23" t="n">
        <v>5</v>
      </c>
      <c r="G19" s="25" t="inlineStr">
        <is>
          <t>Consolidador (a nomear)</t>
        </is>
      </c>
      <c r="H19" s="25" t="inlineStr">
        <is>
          <t>BRL</t>
        </is>
      </c>
      <c r="I19" s="26" t="n">
        <v>5587.5</v>
      </c>
      <c r="J19" s="25" t="n">
        <v>2</v>
      </c>
      <c r="K19" s="27">
        <f>IF(I19="","",I19*J19)</f>
        <v/>
      </c>
      <c r="L19" s="28" t="n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Executive R$ 6.420 + Classic Double R$ 4.755 = R$ 11.175 pelas 2 noites (R$ 5.587,50/noite). Confirmar que a Executive comporta 3 (pais + filho).</t>
        </is>
      </c>
    </row>
    <row r="20">
      <c r="A20" s="23" t="n">
        <v>16</v>
      </c>
      <c r="B20" s="23" t="inlineStr">
        <is>
          <t>Hotel</t>
        </is>
      </c>
      <c r="C20" s="24" t="inlineStr">
        <is>
          <t>Paris · Opção 2 · Hotel Indigo Paris Opéra, IHG 4★</t>
        </is>
      </c>
      <c r="D20" s="23" t="inlineStr">
        <is>
          <t>Rue de Châteaudun, 9º arr., entre a Ópera Garnier e Montmartre · 1 Standard Queen triplo + 1 Standard Queen duplo · café da manhã · 2 noites</t>
        </is>
      </c>
      <c r="E20" s="23" t="inlineStr">
        <is>
          <t>10/01 → 12/01</t>
        </is>
      </c>
      <c r="F20" s="23" t="n">
        <v>5</v>
      </c>
      <c r="G20" s="25" t="inlineStr">
        <is>
          <t>Consolidador (a nomear)</t>
        </is>
      </c>
      <c r="H20" s="25" t="inlineStr">
        <is>
          <t>BRL</t>
        </is>
      </c>
      <c r="I20" s="26" t="n">
        <v>5715</v>
      </c>
      <c r="J20" s="25" t="n">
        <v>2</v>
      </c>
      <c r="K20" s="27">
        <f>IF(I20="","",I20*J20)</f>
        <v/>
      </c>
      <c r="L20" s="28" t="n"/>
      <c r="M20" s="25" t="inlineStr">
        <is>
          <t>Não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triplo R$ 6.730 + duplo R$ 4.700 = R$ 11.430 pelas 2 noites (R$ 5.715/noite). Triplo resolve pais + filho sem depender de confirmação.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Railjet Budapeste → Viena · 4 pax</t>
        </is>
      </c>
      <c r="D21" s="23" t="inlineStr">
        <is>
          <t>ÖBB RJX 62 · Budapest-Keleti 09:30 → Wien Hbf 12:20 · 2h50 · direto · 1ª classe · assentos marcados</t>
        </is>
      </c>
      <c r="E21" s="23" t="inlineStr">
        <is>
          <t>03/01</t>
        </is>
      </c>
      <c r="F21" s="23" t="n">
        <v>4</v>
      </c>
      <c r="G21" s="25" t="inlineStr">
        <is>
          <t>Consolidador (a nomear)</t>
        </is>
      </c>
      <c r="H21" s="25" t="inlineStr">
        <is>
          <t>BRL</t>
        </is>
      </c>
      <c r="I21" s="26" t="n">
        <v>302.5</v>
      </c>
      <c r="J21" s="25" t="n">
        <v>4</v>
      </c>
      <c r="K21" s="27">
        <f>IF(I21="","",I21*J21)</f>
        <v/>
      </c>
      <c r="L21" s="28" t="inlineStr"/>
      <c r="M21" s="25" t="inlineStr">
        <is>
          <t>Não</t>
        </is>
      </c>
      <c r="N21" s="29">
        <f>IF(OR(M21&lt;&gt;"Sim",I21=""),0,K21*IF(H21="BRL",1,IF(H21="EUR",Parâmetros!$B$4,IF(H21="USD",Parâmetros!$B$5,1))))</f>
        <v/>
      </c>
      <c r="O21" s="25" t="inlineStr">
        <is>
          <t>Descartado</t>
        </is>
      </c>
      <c r="P21" s="30" t="inlineStr">
        <is>
          <t>Substituído pelo trajeto via Tokaj (02 e 03/01). Valor de referência: R$ 1.210 para 4 pax em 1ª classe.</t>
        </is>
      </c>
    </row>
    <row r="22">
      <c r="A22" s="23" t="n">
        <v>18</v>
      </c>
      <c r="B22" s="23" t="inlineStr">
        <is>
          <t>Trem</t>
        </is>
      </c>
      <c r="C22" s="24" t="inlineStr">
        <is>
          <t>Trem Budapeste → Tokaj · 4 pax</t>
        </is>
      </c>
      <c r="D22" s="23" t="inlineStr">
        <is>
          <t>MÁV InterCity · Budapest-Keleti → Tokaj · ~2h30 · 1ª classe · com bagagem</t>
        </is>
      </c>
      <c r="E22" s="23" t="inlineStr">
        <is>
          <t>02/01</t>
        </is>
      </c>
      <c r="F22" s="23" t="n">
        <v>4</v>
      </c>
      <c r="G22" s="25" t="inlineStr">
        <is>
          <t>Consolidador (a nomear)</t>
        </is>
      </c>
      <c r="H22" s="25" t="inlineStr">
        <is>
          <t>BRL</t>
        </is>
      </c>
      <c r="I22" s="26" t="n"/>
      <c r="J22" s="25" t="n">
        <v>4</v>
      </c>
      <c r="K22" s="27">
        <f>IF(I22="","",I22*J22)</f>
        <v/>
      </c>
      <c r="L22" s="28" t="n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>
        <is>
          <t>Sábado: conferir grade reduzida da MÁV. Ideal saída ~07:30 para chegar às 10h.</t>
        </is>
      </c>
    </row>
    <row r="23">
      <c r="A23" s="23" t="n">
        <v>19</v>
      </c>
      <c r="B23" s="23" t="inlineStr">
        <is>
          <t>Trem</t>
        </is>
      </c>
      <c r="C23" s="24" t="inlineStr">
        <is>
          <t>Trem Tokaj → Budapeste → Viena · 4 pax</t>
        </is>
      </c>
      <c r="D23" s="23" t="inlineStr">
        <is>
          <t>MÁV InterCity Tokaj → Budapest-Keleti + Railjet Keleti → Wien Hbf · ~6h com conexão · 1ª classe</t>
        </is>
      </c>
      <c r="E23" s="23" t="inlineStr">
        <is>
          <t>03/01</t>
        </is>
      </c>
      <c r="F23" s="23" t="n">
        <v>4</v>
      </c>
      <c r="G23" s="25" t="inlineStr">
        <is>
          <t>Consolidador (a nomear)</t>
        </is>
      </c>
      <c r="H23" s="25" t="inlineStr">
        <is>
          <t>BRL</t>
        </is>
      </c>
      <c r="I23" s="26" t="n"/>
      <c r="J23" s="25" t="n">
        <v>4</v>
      </c>
      <c r="K23" s="27">
        <f>IF(I23="","",I23*J23)</f>
        <v/>
      </c>
      <c r="L23" s="28" t="n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>
        <is>
          <t>Chegada em Viena no meio da tarde. Deixar folga de ≥ 40 min na conexão em Keleti.</t>
        </is>
      </c>
    </row>
    <row r="24">
      <c r="A24" s="23" t="n">
        <v>20</v>
      </c>
      <c r="B24" s="23" t="inlineStr">
        <is>
          <t>Trem</t>
        </is>
      </c>
      <c r="C24" s="24" t="inlineStr">
        <is>
          <t>Railjet Viena → Praga · 5 pax</t>
        </is>
      </c>
      <c r="D24" s="23" t="inlineStr">
        <is>
          <t>ÖBB RJ 252 · Wien Hbf 11:10 → Praha hlavní nádraží 15:23 · 4h13 · direto · 1ª classe · assentos marcados</t>
        </is>
      </c>
      <c r="E24" s="23" t="inlineStr">
        <is>
          <t>07/01</t>
        </is>
      </c>
      <c r="F24" s="23" t="n">
        <v>5</v>
      </c>
      <c r="G24" s="25" t="inlineStr">
        <is>
          <t>Consolidador (a nomear)</t>
        </is>
      </c>
      <c r="H24" s="25" t="inlineStr">
        <is>
          <t>BRL</t>
        </is>
      </c>
      <c r="I24" s="26" t="n">
        <v>381</v>
      </c>
      <c r="J24" s="25" t="n">
        <v>5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Cotado</t>
        </is>
      </c>
      <c r="P24" s="30" t="inlineStr">
        <is>
          <t>Cotação de 21/09: R$ 1.905 para 5 pax (R$ 381/pax), 1ª classe.</t>
        </is>
      </c>
    </row>
    <row r="25">
      <c r="A25" s="23" t="n">
        <v>21</v>
      </c>
      <c r="B25" s="23" t="inlineStr">
        <is>
          <t>Transfer</t>
        </is>
      </c>
      <c r="C25" s="24" t="inlineStr">
        <is>
          <t>Budapeste · aeroporto → hotel · 4 pax</t>
        </is>
      </c>
      <c r="D25" s="23" t="inlineStr">
        <is>
          <t>Van privativa com recepção no desembarque</t>
        </is>
      </c>
      <c r="E25" s="23" t="inlineStr">
        <is>
          <t>30/12</t>
        </is>
      </c>
      <c r="F25" s="23" t="n">
        <v>4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>
        <is>
          <t>Valor unitário = por veículo.</t>
        </is>
      </c>
    </row>
    <row r="26">
      <c r="A26" s="23" t="n">
        <v>22</v>
      </c>
      <c r="B26" s="23" t="inlineStr">
        <is>
          <t>Transfer</t>
        </is>
      </c>
      <c r="C26" s="24" t="inlineStr">
        <is>
          <t>Budapeste · hotel → estação Keleti · 4 pax</t>
        </is>
      </c>
      <c r="D26" s="23" t="inlineStr">
        <is>
          <t>Carro ou van privativa, com bagagem</t>
        </is>
      </c>
      <c r="E26" s="23" t="inlineStr">
        <is>
          <t>02/01</t>
        </is>
      </c>
      <c r="F26" s="23" t="n">
        <v>4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Viena · estação Hbf → hotel · 4 pax</t>
        </is>
      </c>
      <c r="D27" s="23" t="inlineStr">
        <is>
          <t>Carro ou van privativa</t>
        </is>
      </c>
      <c r="E27" s="23" t="inlineStr">
        <is>
          <t>03/01</t>
        </is>
      </c>
      <c r="F27" s="23" t="n">
        <v>4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Viena · aeroporto → hotel · filho · 1 pax</t>
        </is>
      </c>
      <c r="D28" s="23" t="inlineStr">
        <is>
          <t>Motorista com placa no desembarque · reforçar: menor viajando só</t>
        </is>
      </c>
      <c r="E28" s="23" t="inlineStr">
        <is>
          <t>05/01</t>
        </is>
      </c>
      <c r="F28" s="23" t="n">
        <v>1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Viena · hotel → estação Hbf · 5 pax</t>
        </is>
      </c>
      <c r="D29" s="23" t="inlineStr">
        <is>
          <t>Van privativa</t>
        </is>
      </c>
      <c r="E29" s="23" t="inlineStr">
        <is>
          <t>07/01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Praga · estação hl.n. → hotel · 5 pax</t>
        </is>
      </c>
      <c r="D30" s="23" t="inlineStr">
        <is>
          <t>Van privativa</t>
        </is>
      </c>
      <c r="E30" s="23" t="inlineStr">
        <is>
          <t>07/01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Transfer</t>
        </is>
      </c>
      <c r="C31" s="24" t="inlineStr">
        <is>
          <t>Praga · hotel → aeroporto · 5 pax</t>
        </is>
      </c>
      <c r="D31" s="23" t="inlineStr">
        <is>
          <t>Van privativa</t>
        </is>
      </c>
      <c r="E31" s="23" t="inlineStr">
        <is>
          <t>10/01</t>
        </is>
      </c>
      <c r="F31" s="23" t="n">
        <v>5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/>
    </row>
    <row r="32">
      <c r="A32" s="23" t="n">
        <v>28</v>
      </c>
      <c r="B32" s="23" t="inlineStr">
        <is>
          <t>Transfer</t>
        </is>
      </c>
      <c r="C32" s="24" t="inlineStr">
        <is>
          <t>Paris · CDG → hotel · 5 pax</t>
        </is>
      </c>
      <c r="D32" s="23" t="inlineStr">
        <is>
          <t>Van privativa</t>
        </is>
      </c>
      <c r="E32" s="23" t="inlineStr">
        <is>
          <t>10/01</t>
        </is>
      </c>
      <c r="F32" s="23" t="n">
        <v>5</v>
      </c>
      <c r="G32" s="25" t="inlineStr"/>
      <c r="H32" s="25" t="inlineStr">
        <is>
          <t>EUR</t>
        </is>
      </c>
      <c r="I32" s="26" t="n"/>
      <c r="J32" s="25" t="n">
        <v>1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/>
    </row>
    <row r="33">
      <c r="A33" s="23" t="n">
        <v>29</v>
      </c>
      <c r="B33" s="23" t="inlineStr">
        <is>
          <t>Transfer</t>
        </is>
      </c>
      <c r="C33" s="24" t="inlineStr">
        <is>
          <t>Paris · hotel → CDG · 5 pax</t>
        </is>
      </c>
      <c r="D33" s="23" t="inlineStr">
        <is>
          <t>Van privativa</t>
        </is>
      </c>
      <c r="E33" s="23" t="inlineStr">
        <is>
          <t>12/01</t>
        </is>
      </c>
      <c r="F33" s="23" t="n">
        <v>5</v>
      </c>
      <c r="G33" s="25" t="inlineStr"/>
      <c r="H33" s="25" t="inlineStr">
        <is>
          <t>EUR</t>
        </is>
      </c>
      <c r="I33" s="26" t="n"/>
      <c r="J33" s="25" t="n">
        <v>1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/>
    </row>
    <row r="34">
      <c r="A34" s="23" t="n">
        <v>30</v>
      </c>
      <c r="B34" s="23" t="inlineStr">
        <is>
          <t>Experiência</t>
        </is>
      </c>
      <c r="C34" s="24" t="inlineStr">
        <is>
          <t>Réveillon · Opção 1 · Silverline · jantar de gala em catamarã · 4 pax</t>
        </is>
      </c>
      <c r="D34" s="23" t="inlineStr">
        <is>
          <t>Cais 11, Ponte Elisabeth · embarque 20h, retorno 1h · welcome cocktail, jantar de 5 pratos, espumante, show de piano · Parlamento iluminado, brinde e fogos à meia-noite</t>
        </is>
      </c>
      <c r="E34" s="23" t="inlineStr">
        <is>
          <t>31/12</t>
        </is>
      </c>
      <c r="F34" s="23" t="n">
        <v>4</v>
      </c>
      <c r="G34" s="25" t="inlineStr">
        <is>
          <t>Silverline Cruises</t>
        </is>
      </c>
      <c r="H34" s="25" t="inlineStr">
        <is>
          <t>BRL</t>
        </is>
      </c>
      <c r="I34" s="26" t="n">
        <v>2146.59</v>
      </c>
      <c r="J34" s="25" t="n">
        <v>4</v>
      </c>
      <c r="K34" s="27">
        <f>IF(I34="","",I34*J34)</f>
        <v/>
      </c>
      <c r="L34" s="28" t="inlineStr">
        <is>
          <t>silver-line.hu/product/budapest-new-years-eve-dinner-cruise</t>
        </is>
      </c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Valor por pessoa, conforme a página da Silverline em 21/09.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Réveillon · Opção 2 · Budapest River Cruise · NYE Party Cruise · 4 pax</t>
        </is>
      </c>
      <c r="D35" s="23" t="inlineStr">
        <is>
          <t>Cais 8/8A, Ponte Elisabeth · embarque 19h, retorno 1h · jantar, música ao vivo e virada a bordo</t>
        </is>
      </c>
      <c r="E35" s="23" t="inlineStr">
        <is>
          <t>31/12</t>
        </is>
      </c>
      <c r="F35" s="23" t="n">
        <v>4</v>
      </c>
      <c r="G35" s="25" t="inlineStr">
        <is>
          <t>Budapest River Cruise</t>
        </is>
      </c>
      <c r="H35" s="25" t="inlineStr">
        <is>
          <t>BRL</t>
        </is>
      </c>
      <c r="I35" s="26" t="n">
        <v>2272.86</v>
      </c>
      <c r="J35" s="25" t="n">
        <v>4</v>
      </c>
      <c r="K35" s="27">
        <f>IF(I35="","",I35*J35)</f>
        <v/>
      </c>
      <c r="L35" s="28" t="inlineStr">
        <is>
          <t>budapestrivercruise.com/budapest-new-years-eve-cruise-party</t>
        </is>
      </c>
      <c r="M35" s="25" t="inlineStr">
        <is>
          <t>Não</t>
        </is>
      </c>
      <c r="N35" s="29">
        <f>IF(OR(M35&lt;&gt;"Sim",I35=""),0,K35*IF(H35="BRL",1,IF(H35="EUR",Parâmetros!$B$4,IF(H35="USD",Parâmetros!$B$5,1))))</f>
        <v/>
      </c>
      <c r="O35" s="25" t="inlineStr">
        <is>
          <t>Cotado</t>
        </is>
      </c>
      <c r="P35" s="30" t="inlineStr">
        <is>
          <t>Valor por pessoa, 6 horas a bordo (19h à 1h). Mais que o dobro da Opção 1 por pessoa. Confirmar preço de menor e o que o jantar inclui.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Tokaj · táxi local contratado pelo dia · 4 pax</t>
        </is>
      </c>
      <c r="D36" s="23" t="inlineStr">
        <is>
          <t>Estação de Tokaj → Oremus (Tolcsva) → almoço → Disznókő (Mezőzombor) → Minaro Hotel · 03/01 hotel → estação</t>
        </is>
      </c>
      <c r="E36" s="23" t="inlineStr">
        <is>
          <t>02/01</t>
        </is>
      </c>
      <c r="F36" s="23" t="n">
        <v>4</v>
      </c>
      <c r="G36" s="25" t="inlineStr">
        <is>
          <t>Motorista local (indicação da Oremus)</t>
        </is>
      </c>
      <c r="H36" s="25" t="inlineStr">
        <is>
          <t>BRL</t>
        </is>
      </c>
      <c r="I36" s="26" t="n"/>
      <c r="J36" s="25" t="n">
        <v>1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Substitui o motorista-guia de Budapeste, que veio muito caro. Referência: € 120 a 180 pelo dia.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Oremus · visita à adega e prova · 2 adultos + 2 filhas</t>
        </is>
      </c>
      <c r="D37" s="23" t="inlineStr">
        <is>
          <t>Tolcsva · agendamento por e-mail · ~1h · adegas do século XIII · adolescentes acompanham sem álcool</t>
        </is>
      </c>
      <c r="E37" s="23" t="inlineStr">
        <is>
          <t>02/01</t>
        </is>
      </c>
      <c r="F37" s="23" t="n">
        <v>4</v>
      </c>
      <c r="G37" s="25" t="inlineStr">
        <is>
          <t>Tokaj-Oremus</t>
        </is>
      </c>
      <c r="H37" s="25" t="inlineStr">
        <is>
          <t>BRL</t>
        </is>
      </c>
      <c r="I37" s="26" t="n">
        <v>315.67</v>
      </c>
      <c r="J37" s="25" t="n">
        <v>1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Cotado</t>
        </is>
      </c>
      <c r="P37" s="30" t="inlineStr">
        <is>
          <t>Cotação de 21/09 em reais para a família (2 adultos e 2 filhas). Confirmar recepção no sábado 02/01; plano B: segunda 04/01.</t>
        </is>
      </c>
    </row>
    <row r="38">
      <c r="A38" s="23" t="n">
        <v>34</v>
      </c>
      <c r="B38" s="23" t="inlineStr">
        <is>
          <t>Experiência</t>
        </is>
      </c>
      <c r="C38" s="24" t="inlineStr">
        <is>
          <t>Disznókő · visita e prova · 2 adultos + 2 filhas</t>
        </is>
      </c>
      <c r="D38" s="23" t="inlineStr">
        <is>
          <t>Mezőzombor, a 20 min de Tolcsva · vinícola do grupo AXA Millésimes · segunda parada da tarde</t>
        </is>
      </c>
      <c r="E38" s="23" t="inlineStr">
        <is>
          <t>02/01</t>
        </is>
      </c>
      <c r="F38" s="23" t="n">
        <v>4</v>
      </c>
      <c r="G38" s="25" t="inlineStr">
        <is>
          <t>Disznókő</t>
        </is>
      </c>
      <c r="H38" s="25" t="inlineStr">
        <is>
          <t>BRL</t>
        </is>
      </c>
      <c r="I38" s="26" t="n"/>
      <c r="J38" s="25" t="n">
        <v>1</v>
      </c>
      <c r="K38" s="27">
        <f>IF(I38="","",I38*J38)</f>
        <v/>
      </c>
      <c r="L38" s="28" t="n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>
        <is>
          <t>Aguardando valores da vinícola.</t>
        </is>
      </c>
    </row>
    <row r="39">
      <c r="A39" s="23" t="n">
        <v>35</v>
      </c>
      <c r="B39" s="23" t="inlineStr">
        <is>
          <t>Experiência</t>
        </is>
      </c>
      <c r="C39" s="24" t="inlineStr">
        <is>
          <t>Almoço em vinícola ou restaurante em Tokaj · 4 pax</t>
        </is>
      </c>
      <c r="D39" s="23" t="inlineStr">
        <is>
          <t>Mád ou Tarcal</t>
        </is>
      </c>
      <c r="E39" s="23" t="inlineStr">
        <is>
          <t>02/01</t>
        </is>
      </c>
      <c r="F39" s="23" t="n">
        <v>4</v>
      </c>
      <c r="G39" s="25" t="inlineStr"/>
      <c r="H39" s="25" t="inlineStr">
        <is>
          <t>EUR</t>
        </is>
      </c>
      <c r="I39" s="26" t="n"/>
      <c r="J39" s="25" t="n">
        <v>4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>
        <is>
          <t>Pode vir incluído no pacote do motorista-guia.</t>
        </is>
      </c>
    </row>
    <row r="40">
      <c r="A40" s="23" t="n">
        <v>36</v>
      </c>
      <c r="B40" s="23" t="inlineStr">
        <is>
          <t>Seguro/Docs</t>
        </is>
      </c>
      <c r="C40" s="24" t="inlineStr">
        <is>
          <t>Seguro viagem · 5 pax · 15 dias</t>
        </is>
      </c>
      <c r="D40" s="23" t="inlineStr">
        <is>
          <t>Plano 90 Essential · DMH USD 90.000 · 29/12 a 12/01</t>
        </is>
      </c>
      <c r="E40" s="23" t="inlineStr">
        <is>
          <t>29/12 → 12/01</t>
        </is>
      </c>
      <c r="F40" s="23" t="n">
        <v>5</v>
      </c>
      <c r="G40" s="25" t="inlineStr">
        <is>
          <t>31 Motivos</t>
        </is>
      </c>
      <c r="H40" s="25" t="inlineStr">
        <is>
          <t>BRL</t>
        </is>
      </c>
      <c r="I40" s="26" t="n">
        <v>300.6</v>
      </c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Cotado</t>
        </is>
      </c>
      <c r="P40" s="30" t="inlineStr">
        <is>
          <t>Cotação de 21/09: R$ 1.503,00 para os 5 (R$ 300,60 por pessoa). Confirmar se a apólice do filho cobre desde o embarque dele em 04/01.</t>
        </is>
      </c>
    </row>
    <row r="41"/>
    <row r="42">
      <c r="C42" s="21" t="inlineStr">
        <is>
          <t>SUBTOTAL EM R$ (itens marcados como Sim)</t>
        </is>
      </c>
      <c r="N42" s="31">
        <f>SUM(N5:N40)</f>
        <v/>
      </c>
    </row>
    <row r="43">
      <c r="C43" s="12" t="inlineStr">
        <is>
          <t>Taxa de serviço LusaTravel</t>
        </is>
      </c>
      <c r="N43" s="13">
        <f>N42*Parâmetros!$B$10</f>
        <v/>
      </c>
    </row>
    <row r="44">
      <c r="A44" s="32" t="n"/>
      <c r="B44" s="32" t="n"/>
      <c r="C44" s="33" t="inlineStr">
        <is>
          <t>TOTAL PARA O CLIENTE</t>
        </is>
      </c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4">
        <f>N42+N43</f>
        <v/>
      </c>
      <c r="O44" s="32" t="n"/>
      <c r="P44" s="32" t="n"/>
    </row>
    <row r="45">
      <c r="C45" s="2" t="inlineStr">
        <is>
          <t>*Nada reservado, apenas cotado.</t>
        </is>
      </c>
    </row>
  </sheetData>
  <autoFilter ref="A4:P40"/>
  <dataValidations count="3">
    <dataValidation sqref="O5:O40" showDropDown="0" showInputMessage="0" showErrorMessage="0" allowBlank="1" type="list">
      <formula1>"A cotar,Cotado,Aprovado pelo cliente,Reservado,Descartado"</formula1>
    </dataValidation>
    <dataValidation sqref="M5:M40" showDropDown="0" showInputMessage="0" showErrorMessage="0" allowBlank="0" type="list">
      <formula1>"Sim,Não"</formula1>
    </dataValidation>
    <dataValidation sqref="H5:H40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2026-09-21T19:02:31Z</dcterms:modified>
</cp:coreProperties>
</file>