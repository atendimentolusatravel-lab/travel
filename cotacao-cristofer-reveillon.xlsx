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COUNTIF(Cotação!$B$5:$B$47,A5)</f>
        <v/>
      </c>
      <c r="C5" s="5">
        <f>COUNTIFS(Cotação!$B$5:$B$47,A5,Cotação!$O$5:$O$47,"A cotar")</f>
        <v/>
      </c>
      <c r="D5" s="5">
        <f>COUNTIFS(Cotação!$B$5:$B$47,A5,Cotação!$O$5:$O$47,"&lt;&gt;A cotar")</f>
        <v/>
      </c>
      <c r="E5" s="6">
        <f>SUMIF(Cotação!$B$5:$B$47,A5,Cotação!$N$5:$N$47)</f>
        <v/>
      </c>
    </row>
    <row r="6">
      <c r="A6" s="4" t="inlineStr">
        <is>
          <t>Hotel</t>
        </is>
      </c>
      <c r="B6" s="5">
        <f>COUNTIF(Cotação!$B$5:$B$47,A6)</f>
        <v/>
      </c>
      <c r="C6" s="5">
        <f>COUNTIFS(Cotação!$B$5:$B$47,A6,Cotação!$O$5:$O$47,"A cotar")</f>
        <v/>
      </c>
      <c r="D6" s="5">
        <f>COUNTIFS(Cotação!$B$5:$B$47,A6,Cotação!$O$5:$O$47,"&lt;&gt;A cotar")</f>
        <v/>
      </c>
      <c r="E6" s="6">
        <f>SUMIF(Cotação!$B$5:$B$47,A6,Cotação!$N$5:$N$47)</f>
        <v/>
      </c>
    </row>
    <row r="7">
      <c r="A7" s="4" t="inlineStr">
        <is>
          <t>Trem</t>
        </is>
      </c>
      <c r="B7" s="5">
        <f>COUNTIF(Cotação!$B$5:$B$47,A7)</f>
        <v/>
      </c>
      <c r="C7" s="5">
        <f>COUNTIFS(Cotação!$B$5:$B$47,A7,Cotação!$O$5:$O$47,"A cotar")</f>
        <v/>
      </c>
      <c r="D7" s="5">
        <f>COUNTIFS(Cotação!$B$5:$B$47,A7,Cotação!$O$5:$O$47,"&lt;&gt;A cotar")</f>
        <v/>
      </c>
      <c r="E7" s="6">
        <f>SUMIF(Cotação!$B$5:$B$47,A7,Cotação!$N$5:$N$47)</f>
        <v/>
      </c>
    </row>
    <row r="8">
      <c r="A8" s="4" t="inlineStr">
        <is>
          <t>Transfer</t>
        </is>
      </c>
      <c r="B8" s="5">
        <f>COUNTIF(Cotação!$B$5:$B$47,A8)</f>
        <v/>
      </c>
      <c r="C8" s="5">
        <f>COUNTIFS(Cotação!$B$5:$B$47,A8,Cotação!$O$5:$O$47,"A cotar")</f>
        <v/>
      </c>
      <c r="D8" s="5">
        <f>COUNTIFS(Cotação!$B$5:$B$47,A8,Cotação!$O$5:$O$47,"&lt;&gt;A cotar")</f>
        <v/>
      </c>
      <c r="E8" s="6">
        <f>SUMIF(Cotação!$B$5:$B$47,A8,Cotação!$N$5:$N$47)</f>
        <v/>
      </c>
    </row>
    <row r="9">
      <c r="A9" s="4" t="inlineStr">
        <is>
          <t>Experiência</t>
        </is>
      </c>
      <c r="B9" s="5">
        <f>COUNTIF(Cotação!$B$5:$B$47,A9)</f>
        <v/>
      </c>
      <c r="C9" s="5">
        <f>COUNTIFS(Cotação!$B$5:$B$47,A9,Cotação!$O$5:$O$47,"A cotar")</f>
        <v/>
      </c>
      <c r="D9" s="5">
        <f>COUNTIFS(Cotação!$B$5:$B$47,A9,Cotação!$O$5:$O$47,"&lt;&gt;A cotar")</f>
        <v/>
      </c>
      <c r="E9" s="6">
        <f>SUMIF(Cotação!$B$5:$B$47,A9,Cotação!$N$5:$N$47)</f>
        <v/>
      </c>
    </row>
    <row r="10">
      <c r="A10" s="4" t="inlineStr">
        <is>
          <t>Seguro/Docs</t>
        </is>
      </c>
      <c r="B10" s="5">
        <f>COUNTIF(Cotação!$B$5:$B$47,A10)</f>
        <v/>
      </c>
      <c r="C10" s="5">
        <f>COUNTIFS(Cotação!$B$5:$B$47,A10,Cotação!$O$5:$O$47,"A cotar")</f>
        <v/>
      </c>
      <c r="D10" s="5">
        <f>COUNTIFS(Cotação!$B$5:$B$47,A10,Cotação!$O$5:$O$47,"&lt;&gt;A cotar")</f>
        <v/>
      </c>
      <c r="E10" s="6">
        <f>SUMIF(Cotação!$B$5:$B$47,A10,Cotação!$N$5:$N$47)</f>
        <v/>
      </c>
    </row>
    <row r="11">
      <c r="A11" s="4" t="inlineStr">
        <is>
          <t>Outros</t>
        </is>
      </c>
      <c r="B11" s="5">
        <f>COUNTIF(Cotação!$B$5:$B$47,A11)</f>
        <v/>
      </c>
      <c r="C11" s="5">
        <f>COUNTIFS(Cotação!$B$5:$B$47,A11,Cotação!$O$5:$O$47,"A cotar")</f>
        <v/>
      </c>
      <c r="D11" s="5">
        <f>COUNTIFS(Cotação!$B$5:$B$47,A11,Cotação!$O$5:$O$47,"&lt;&gt;A cotar")</f>
        <v/>
      </c>
      <c r="E11" s="6">
        <f>SUMIF(Cotação!$B$5:$B$47,A11,Cotação!$N$5:$N$47)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Escolhida para o total: boutique 5★ no coração da Cidade Velha, R$ 1.980 acima da Opção 2. Confirmar que a suíte comporta 3 (pais + filho).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ÖBB RJX 62 · Budapest-Keleti 09:30 → Wien Hbf 12:20 · 2h50 · direto · assentos marcados</t>
        </is>
      </c>
      <c r="E19" s="23" t="inlineStr">
        <is>
          <t>03/01</t>
        </is>
      </c>
      <c r="F19" s="23" t="n">
        <v>4</v>
      </c>
      <c r="G19" s="25" t="inlineStr">
        <is>
          <t>Consolidador (a nomear)</t>
        </is>
      </c>
      <c r="H19" s="25" t="inlineStr">
        <is>
          <t>BRL</t>
        </is>
      </c>
      <c r="I19" s="26" t="n">
        <v>302.5</v>
      </c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R$ 1.210 para 4 pax (R$ 302,50/pax). Confirmar classe (1ª ou 2ª) e se a tarifa permite alteração.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ÖBB RJ 252 · Wien Hbf 11:10 → Praha hlavní nádraží 15:23 · 4h13 · direto · assentos marcados</t>
        </is>
      </c>
      <c r="E20" s="23" t="inlineStr">
        <is>
          <t>07/01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381</v>
      </c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R$ 1.905 para 5 pax (R$ 381/pax). Confirmar classe (1ª ou 2ª) e se a tarifa permite alteração.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Opção 1 · Silverline · jantar de gala em catamarã · 4 pax</t>
        </is>
      </c>
      <c r="D30" s="23" t="inlineStr">
        <is>
          <t>Cais 11, Ponte Elisabeth · welcome cocktail, jantar de 5 pratos, espumante, show de piano · passa pelo Parlamento iluminado, brinde e fogos à meia-noite</t>
        </is>
      </c>
      <c r="E30" s="23" t="inlineStr">
        <is>
          <t>31/12</t>
        </is>
      </c>
      <c r="F30" s="23" t="n">
        <v>4</v>
      </c>
      <c r="G30" s="25" t="inlineStr">
        <is>
          <t>Silverline Cruises</t>
        </is>
      </c>
      <c r="H30" s="25" t="inlineStr">
        <is>
          <t>BRL</t>
        </is>
      </c>
      <c r="I30" s="26" t="n">
        <v>1092.24</v>
      </c>
      <c r="J30" s="25" t="n">
        <v>4</v>
      </c>
      <c r="K30" s="27">
        <f>IF(I30="","",I30*J30)</f>
        <v/>
      </c>
      <c r="L30" s="28" t="inlineStr">
        <is>
          <t>silver-line.hu/product/budapest-new-years-eve-dinner-cruise</t>
        </is>
      </c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Cotado</t>
        </is>
      </c>
      <c r="P30" s="30" t="inlineStr">
        <is>
          <t>Valor por pessoa do pacote de bebidas básico (o site tem pacotes até quase o dobro). Preço de criança e horário de embarque a confirmar na página.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2 · Budapest River Cruise · NYE Party Cruise · 4 pax</t>
        </is>
      </c>
      <c r="D31" s="23" t="inlineStr">
        <is>
          <t>Cais 8/8A, Ponte Elisabeth · jantar, música ao vivo e virada a bordo · detalhes do barco a confirmar</t>
        </is>
      </c>
      <c r="E31" s="23" t="inlineStr">
        <is>
          <t>31/12</t>
        </is>
      </c>
      <c r="F31" s="23" t="n">
        <v>4</v>
      </c>
      <c r="G31" s="25" t="inlineStr">
        <is>
          <t>Budapest River Cruise</t>
        </is>
      </c>
      <c r="H31" s="25" t="inlineStr">
        <is>
          <t>BRL</t>
        </is>
      </c>
      <c r="I31" s="26" t="n"/>
      <c r="J31" s="25" t="n">
        <v>4</v>
      </c>
      <c r="K31" s="27">
        <f>IF(I31="","",I31*J31)</f>
        <v/>
      </c>
      <c r="L31" s="28" t="inlineStr">
        <is>
          <t>budapestrivercruise.com/budapest-new-years-eve-cruise-party</t>
        </is>
      </c>
      <c r="M31" s="25" t="inlineStr">
        <is>
          <t>Não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Não consegui ler a página. Me mande o preço por adulto e por menor, o horário de embarque e o que inclui, que eu lanço.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3 · Budapest River Cruise · NYE Boat Party · 4 pax</t>
        </is>
      </c>
      <c r="D32" s="23" t="inlineStr">
        <is>
          <t>22h à 3h · DJ, open bar, fotógrafo · festa, sem jantar servido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/>
      <c r="J32" s="25" t="n">
        <v>4</v>
      </c>
      <c r="K32" s="27">
        <f>IF(I32="","",I32*J32)</f>
        <v/>
      </c>
      <c r="L32" s="28" t="inlineStr">
        <is>
          <t>budapestrivercruise.com/budapest-nye-boat-party-cruise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Descartado</t>
        </is>
      </c>
      <c r="P32" s="30" t="inlineStr">
        <is>
          <t>Evento restrito a maiores de 18 anos. As filhas de 13 e 16 não embarcam.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Almoço em vinícola ou restaurante em Tokaj · 4 pax</t>
        </is>
      </c>
      <c r="D35" s="23" t="inlineStr">
        <is>
          <t>Mád ou Tarcal</t>
        </is>
      </c>
      <c r="E35" s="23" t="inlineStr">
        <is>
          <t>02/01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Pode vir incluído no pacote do motorista-guia.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Termas Széchenyi · 4 pax</t>
        </is>
      </c>
      <c r="D36" s="23" t="inlineStr">
        <is>
          <t>Ingresso dia inteiro com cabine · aberto em 01/01</t>
        </is>
      </c>
      <c r="E36" s="23" t="inlineStr">
        <is>
          <t>01/01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/>
    </row>
    <row r="37">
      <c r="A37" s="23" t="n">
        <v>33</v>
      </c>
      <c r="B37" s="23" t="inlineStr">
        <is>
          <t>Experiência</t>
        </is>
      </c>
      <c r="C37" s="24" t="inlineStr">
        <is>
          <t>Schönbrunn · Grand Tour · 4 pax</t>
        </is>
      </c>
      <c r="D37" s="23" t="inlineStr">
        <is>
          <t>Entrada com hora marcada · mercado de Ano Novo no pátio até 06/01</t>
        </is>
      </c>
      <c r="E37" s="23" t="inlineStr">
        <is>
          <t>04/01</t>
        </is>
      </c>
      <c r="F37" s="23" t="n">
        <v>4</v>
      </c>
      <c r="G37" s="25" t="inlineStr"/>
      <c r="H37" s="25" t="inlineStr">
        <is>
          <t>EUR</t>
        </is>
      </c>
      <c r="I37" s="26" t="n"/>
      <c r="J37" s="25" t="n">
        <v>4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Concerto Orquestra do Hofburg ou Musikverein · 4 pax</t>
        </is>
      </c>
      <c r="D38" s="23" t="inlineStr">
        <is>
          <t>Strauss e Mozart · categoria de assento a definir</t>
        </is>
      </c>
      <c r="E38" s="23" t="inlineStr">
        <is>
          <t>04/01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Concerto de Ano Novo da Filarmônica (01/01) é por sorteio já encerrado.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Prater · Roda Gigante · 5 pax</t>
        </is>
      </c>
      <c r="D39" s="23" t="inlineStr">
        <is>
          <t>Ingresso · mercado de inverno na praça até 06/01</t>
        </is>
      </c>
      <c r="E39" s="23" t="inlineStr">
        <is>
          <t>05/01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/>
    </row>
    <row r="40">
      <c r="A40" s="23" t="n">
        <v>36</v>
      </c>
      <c r="B40" s="23" t="inlineStr">
        <is>
          <t>Experiência</t>
        </is>
      </c>
      <c r="C40" s="24" t="inlineStr">
        <is>
          <t>Belvedere Superior · 5 pax</t>
        </is>
      </c>
      <c r="D40" s="23" t="inlineStr">
        <is>
          <t>Ingresso · O Beijo de Klimt</t>
        </is>
      </c>
      <c r="E40" s="23" t="inlineStr">
        <is>
          <t>06/01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Opcional · Ópera Estatal de Viena · 5 pax</t>
        </is>
      </c>
      <c r="D41" s="23" t="inlineStr">
        <is>
          <t>Récita da noite · verificar programa de 06/01</t>
        </is>
      </c>
      <c r="E41" s="23" t="inlineStr">
        <is>
          <t>06/01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Não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>
        <is>
          <t>Só entra se o cliente pedir.</t>
        </is>
      </c>
    </row>
    <row r="42">
      <c r="A42" s="23" t="n">
        <v>38</v>
      </c>
      <c r="B42" s="23" t="inlineStr">
        <is>
          <t>Experiência</t>
        </is>
      </c>
      <c r="C42" s="24" t="inlineStr">
        <is>
          <t>Castelo de Praga · circuito B · 5 pax</t>
        </is>
      </c>
      <c r="D42" s="23" t="inlineStr">
        <is>
          <t>Catedral de São Vito, Palácio Real Antigo, Ruela Dourada</t>
        </is>
      </c>
      <c r="E42" s="23" t="inlineStr">
        <is>
          <t>08/01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/>
    </row>
    <row r="43">
      <c r="A43" s="23" t="n">
        <v>39</v>
      </c>
      <c r="B43" s="23" t="inlineStr">
        <is>
          <t>Experiência</t>
        </is>
      </c>
      <c r="C43" s="24" t="inlineStr">
        <is>
          <t>Teatro de luz negra · 5 pax</t>
        </is>
      </c>
      <c r="D43" s="23" t="inlineStr">
        <is>
          <t>Sessão da noite</t>
        </is>
      </c>
      <c r="E43" s="23" t="inlineStr">
        <is>
          <t>08/01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5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/>
    </row>
    <row r="44">
      <c r="A44" s="23" t="n">
        <v>40</v>
      </c>
      <c r="B44" s="23" t="inlineStr">
        <is>
          <t>Experiência</t>
        </is>
      </c>
      <c r="C44" s="24" t="inlineStr">
        <is>
          <t>Torre Eiffel · topo · 5 pax</t>
        </is>
      </c>
      <c r="D44" s="23" t="inlineStr">
        <is>
          <t>Entrada com hora marcada · abre venda 60 dias antes</t>
        </is>
      </c>
      <c r="E44" s="23" t="inlineStr">
        <is>
          <t>10/01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>
        <is>
          <t>Reservar exatamente em 11/11 para garantir horário.</t>
        </is>
      </c>
    </row>
    <row r="45">
      <c r="A45" s="23" t="n">
        <v>41</v>
      </c>
      <c r="B45" s="23" t="inlineStr">
        <is>
          <t>Experiência</t>
        </is>
      </c>
      <c r="C45" s="24" t="inlineStr">
        <is>
          <t>Louvre · 5 pax</t>
        </is>
      </c>
      <c r="D45" s="23" t="inlineStr">
        <is>
          <t>Entrada com hora marcada · menores de 18 gratuitos</t>
        </is>
      </c>
      <c r="E45" s="23" t="inlineStr">
        <is>
          <t>11/01</t>
        </is>
      </c>
      <c r="F45" s="23" t="n">
        <v>5</v>
      </c>
      <c r="G45" s="25" t="inlineStr"/>
      <c r="H45" s="25" t="inlineStr">
        <is>
          <t>EUR</t>
        </is>
      </c>
      <c r="I45" s="26" t="n"/>
      <c r="J45" s="25" t="n">
        <v>2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Qtd = 2 adultos pagantes.</t>
        </is>
      </c>
    </row>
    <row r="46">
      <c r="A46" s="23" t="n">
        <v>42</v>
      </c>
      <c r="B46" s="23" t="inlineStr">
        <is>
          <t>Experiência</t>
        </is>
      </c>
      <c r="C46" s="24" t="inlineStr">
        <is>
          <t>Cruzeiro no Sena com jantar · 5 pax</t>
        </is>
      </c>
      <c r="D46" s="23" t="inlineStr">
        <is>
          <t>Bateaux Parisiens ou Bateaux-Mouches · jantar da noite</t>
        </is>
      </c>
      <c r="E46" s="23" t="inlineStr">
        <is>
          <t>11/01</t>
        </is>
      </c>
      <c r="F46" s="23" t="n">
        <v>5</v>
      </c>
      <c r="G46" s="25" t="inlineStr"/>
      <c r="H46" s="25" t="inlineStr">
        <is>
          <t>EUR</t>
        </is>
      </c>
      <c r="I46" s="26" t="n"/>
      <c r="J46" s="25" t="n">
        <v>5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/>
    </row>
    <row r="47">
      <c r="A47" s="23" t="n">
        <v>43</v>
      </c>
      <c r="B47" s="23" t="inlineStr">
        <is>
          <t>Seguro/Docs</t>
        </is>
      </c>
      <c r="C47" s="24" t="inlineStr">
        <is>
          <t>Seguro viagem · 5 pax · 15 dias</t>
        </is>
      </c>
      <c r="D47" s="23" t="inlineStr">
        <is>
          <t>Cobertura médica mínima € 30.000 (Schengen) · bagagem · cancelamento</t>
        </is>
      </c>
      <c r="E47" s="23" t="inlineStr">
        <is>
          <t>29/12 → 12/01</t>
        </is>
      </c>
      <c r="F47" s="23" t="n">
        <v>5</v>
      </c>
      <c r="G47" s="25" t="inlineStr"/>
      <c r="H47" s="25" t="inlineStr">
        <is>
          <t>BRL</t>
        </is>
      </c>
      <c r="I47" s="26" t="n"/>
      <c r="J47" s="25" t="n">
        <v>5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Valor unitário = por pessoa. Filho com vigência a partir de 04/01 pode sair mais barato.</t>
        </is>
      </c>
    </row>
    <row r="48"/>
    <row r="49">
      <c r="C49" s="21" t="inlineStr">
        <is>
          <t>SUBTOTAL EM R$ (itens marcados como Sim)</t>
        </is>
      </c>
      <c r="N49" s="31">
        <f>SUM(N5:N47)</f>
        <v/>
      </c>
    </row>
    <row r="50">
      <c r="C50" s="12" t="inlineStr">
        <is>
          <t>Taxa de serviço LusaTravel</t>
        </is>
      </c>
      <c r="N50" s="13">
        <f>N49*Parâmetros!$B$10</f>
        <v/>
      </c>
    </row>
    <row r="51">
      <c r="A51" s="32" t="n"/>
      <c r="B51" s="32" t="n"/>
      <c r="C51" s="33" t="inlineStr">
        <is>
          <t>TOTAL PARA O CLIENTE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4">
        <f>N49+N50</f>
        <v/>
      </c>
      <c r="O51" s="32" t="n"/>
      <c r="P51" s="32" t="n"/>
    </row>
    <row r="52">
      <c r="C52" s="2" t="inlineStr">
        <is>
          <t>*Nada reservado, apenas cotado.</t>
        </is>
      </c>
    </row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</sheetData>
  <autoFilter ref="A4:P47"/>
  <dataValidations count="3">
    <dataValidation sqref="O5:O47" showDropDown="0" showInputMessage="0" showErrorMessage="0" allowBlank="1" type="list">
      <formula1>"A cotar,Cotado,Aprovado pelo cliente,Reservado,Descartado"</formula1>
    </dataValidation>
    <dataValidation sqref="M5:M47" showDropDown="0" showInputMessage="0" showErrorMessage="0" allowBlank="0" type="list">
      <formula1>"Sim,Não"</formula1>
    </dataValidation>
    <dataValidation sqref="H5:H4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2026-09-21T18:08:39Z</dcterms:modified>
</cp:coreProperties>
</file>