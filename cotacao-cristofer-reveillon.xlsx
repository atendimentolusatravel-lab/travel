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COUNTIF(Cotação!$B$5:$B$48,A5)</f>
        <v/>
      </c>
      <c r="C5" s="5">
        <f>COUNTIFS(Cotação!$B$5:$B$48,A5,Cotação!$O$5:$O$48,"A cotar")</f>
        <v/>
      </c>
      <c r="D5" s="5">
        <f>COUNTIFS(Cotação!$B$5:$B$48,A5,Cotação!$O$5:$O$48,"&lt;&gt;A cotar")</f>
        <v/>
      </c>
      <c r="E5" s="6">
        <f>SUMIF(Cotação!$B$5:$B$48,A5,Cotação!$N$5:$N$48)</f>
        <v/>
      </c>
    </row>
    <row r="6">
      <c r="A6" s="4" t="inlineStr">
        <is>
          <t>Hotel</t>
        </is>
      </c>
      <c r="B6" s="5">
        <f>COUNTIF(Cotação!$B$5:$B$48,A6)</f>
        <v/>
      </c>
      <c r="C6" s="5">
        <f>COUNTIFS(Cotação!$B$5:$B$48,A6,Cotação!$O$5:$O$48,"A cotar")</f>
        <v/>
      </c>
      <c r="D6" s="5">
        <f>COUNTIFS(Cotação!$B$5:$B$48,A6,Cotação!$O$5:$O$48,"&lt;&gt;A cotar")</f>
        <v/>
      </c>
      <c r="E6" s="6">
        <f>SUMIF(Cotação!$B$5:$B$48,A6,Cotação!$N$5:$N$48)</f>
        <v/>
      </c>
    </row>
    <row r="7">
      <c r="A7" s="4" t="inlineStr">
        <is>
          <t>Trem</t>
        </is>
      </c>
      <c r="B7" s="5">
        <f>COUNTIF(Cotação!$B$5:$B$48,A7)</f>
        <v/>
      </c>
      <c r="C7" s="5">
        <f>COUNTIFS(Cotação!$B$5:$B$48,A7,Cotação!$O$5:$O$48,"A cotar")</f>
        <v/>
      </c>
      <c r="D7" s="5">
        <f>COUNTIFS(Cotação!$B$5:$B$48,A7,Cotação!$O$5:$O$48,"&lt;&gt;A cotar")</f>
        <v/>
      </c>
      <c r="E7" s="6">
        <f>SUMIF(Cotação!$B$5:$B$48,A7,Cotação!$N$5:$N$48)</f>
        <v/>
      </c>
    </row>
    <row r="8">
      <c r="A8" s="4" t="inlineStr">
        <is>
          <t>Transfer</t>
        </is>
      </c>
      <c r="B8" s="5">
        <f>COUNTIF(Cotação!$B$5:$B$48,A8)</f>
        <v/>
      </c>
      <c r="C8" s="5">
        <f>COUNTIFS(Cotação!$B$5:$B$48,A8,Cotação!$O$5:$O$48,"A cotar")</f>
        <v/>
      </c>
      <c r="D8" s="5">
        <f>COUNTIFS(Cotação!$B$5:$B$48,A8,Cotação!$O$5:$O$48,"&lt;&gt;A cotar")</f>
        <v/>
      </c>
      <c r="E8" s="6">
        <f>SUMIF(Cotação!$B$5:$B$48,A8,Cotação!$N$5:$N$48)</f>
        <v/>
      </c>
    </row>
    <row r="9">
      <c r="A9" s="4" t="inlineStr">
        <is>
          <t>Experiência</t>
        </is>
      </c>
      <c r="B9" s="5">
        <f>COUNTIF(Cotação!$B$5:$B$48,A9)</f>
        <v/>
      </c>
      <c r="C9" s="5">
        <f>COUNTIFS(Cotação!$B$5:$B$48,A9,Cotação!$O$5:$O$48,"A cotar")</f>
        <v/>
      </c>
      <c r="D9" s="5">
        <f>COUNTIFS(Cotação!$B$5:$B$48,A9,Cotação!$O$5:$O$48,"&lt;&gt;A cotar")</f>
        <v/>
      </c>
      <c r="E9" s="6">
        <f>SUMIF(Cotação!$B$5:$B$48,A9,Cotação!$N$5:$N$48)</f>
        <v/>
      </c>
    </row>
    <row r="10">
      <c r="A10" s="4" t="inlineStr">
        <is>
          <t>Seguro/Docs</t>
        </is>
      </c>
      <c r="B10" s="5">
        <f>COUNTIF(Cotação!$B$5:$B$48,A10)</f>
        <v/>
      </c>
      <c r="C10" s="5">
        <f>COUNTIFS(Cotação!$B$5:$B$48,A10,Cotação!$O$5:$O$48,"A cotar")</f>
        <v/>
      </c>
      <c r="D10" s="5">
        <f>COUNTIFS(Cotação!$B$5:$B$48,A10,Cotação!$O$5:$O$48,"&lt;&gt;A cotar")</f>
        <v/>
      </c>
      <c r="E10" s="6">
        <f>SUMIF(Cotação!$B$5:$B$48,A10,Cotação!$N$5:$N$48)</f>
        <v/>
      </c>
    </row>
    <row r="11">
      <c r="A11" s="4" t="inlineStr">
        <is>
          <t>Outros</t>
        </is>
      </c>
      <c r="B11" s="5">
        <f>COUNTIF(Cotação!$B$5:$B$48,A11)</f>
        <v/>
      </c>
      <c r="C11" s="5">
        <f>COUNTIFS(Cotação!$B$5:$B$48,A11,Cotação!$O$5:$O$48,"A cotar")</f>
        <v/>
      </c>
      <c r="D11" s="5">
        <f>COUNTIFS(Cotação!$B$5:$B$48,A11,Cotação!$O$5:$O$48,"&lt;&gt;A cotar")</f>
        <v/>
      </c>
      <c r="E11" s="6">
        <f>SUMIF(Cotação!$B$5:$B$48,A11,Cotação!$N$5:$N$48)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Sim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(aguardando)</t>
        </is>
      </c>
      <c r="D11" s="23" t="inlineStr">
        <is>
          <t>2 quartos · café da manhã · 4 noites</t>
        </is>
      </c>
      <c r="E11" s="23" t="inlineStr">
        <is>
          <t>30/12 → 03/01</t>
        </is>
      </c>
      <c r="F11" s="23" t="n">
        <v>4</v>
      </c>
      <c r="G11" s="25" t="n"/>
      <c r="H11" s="25" t="inlineStr">
        <is>
          <t>BRL</t>
        </is>
      </c>
      <c r="I11" s="26" t="n"/>
      <c r="J11" s="25" t="n">
        <v>2</v>
      </c>
      <c r="K11" s="27">
        <f>IF(I11="","",I11*J11)</f>
        <v/>
      </c>
      <c r="L11" s="28" t="n"/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A cotar</t>
        </is>
      </c>
      <c r="P11" s="30" t="n"/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2 quartos · café · 4 noites</t>
        </is>
      </c>
      <c r="E12" s="23" t="inlineStr">
        <is>
          <t>03/01 → 07/01</t>
        </is>
      </c>
      <c r="F12" s="23" t="n">
        <v>4</v>
      </c>
      <c r="G12" s="25" t="inlineStr"/>
      <c r="H12" s="25" t="inlineStr">
        <is>
          <t>EUR</t>
        </is>
      </c>
      <c r="I12" s="26" t="n"/>
      <c r="J12" s="25" t="n">
        <v>4</v>
      </c>
      <c r="K12" s="27">
        <f>IF(I12="","",I12*J12)</f>
        <v/>
      </c>
      <c r="L12" s="28" t="inlineStr">
        <is>
          <t>€ 1.862 · 4 noites · 2 quartos · 2 adultos + 2 crianças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Cotar também cama extra ou 3º quarto de 05 a 07/01 (linha própria abaixo).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Hotel Sacher Wien 5★</t>
        </is>
      </c>
      <c r="D13" s="23" t="inlineStr">
        <is>
          <t>Ao lado da Ópera, o hotel da Sachertorte · 2 quartos · café · 4 noites</t>
        </is>
      </c>
      <c r="E13" s="23" t="inlineStr">
        <is>
          <t>03/01 → 07/01</t>
        </is>
      </c>
      <c r="F13" s="23" t="n">
        <v>4</v>
      </c>
      <c r="G13" s="25" t="inlineStr"/>
      <c r="H13" s="25" t="inlineStr">
        <is>
          <t>EUR</t>
        </is>
      </c>
      <c r="I13" s="26" t="n"/>
      <c r="J13" s="25" t="n">
        <v>4</v>
      </c>
      <c r="K13" s="27">
        <f>IF(I13="","",I13*J13)</f>
        <v/>
      </c>
      <c r="L13" s="28" t="inlineStr">
        <is>
          <t>€ 4.350 · 4 noites · 2 quartos · 2 adultos + 2 crianças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Opção icônica. Preço bem acima da Opção 1.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Art Nouveau Palace Hotel 5★</t>
        </is>
      </c>
      <c r="D15" s="23" t="inlineStr">
        <is>
          <t>Panská, Cidade Nova, a 5 min da Praça da Cidade Velha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€ 812 · 3 noites · 2 quartos · 3 adultos + 2 crianças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>
        <is>
          <t>Valor unitário = diária dos 2 quartos somados, já com 5 pax.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Hilton Prague Old Town 5★</t>
        </is>
      </c>
      <c r="D16" s="23" t="inlineStr">
        <is>
          <t>V Celnici, junto à Praça da República, piscina coberta · 2 quartos (5 pax) · café · 3 noites</t>
        </is>
      </c>
      <c r="E16" s="23" t="inlineStr">
        <is>
          <t>07/01 → 10/01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3</v>
      </c>
      <c r="K16" s="27">
        <f>IF(I16="","",I16*J16)</f>
        <v/>
      </c>
      <c r="L16" s="28" t="inlineStr">
        <is>
          <t>€ 1.041 · 3 noites · 2 quartos · 3 adultos + 2 crianças</t>
        </is>
      </c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/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ETIAS · 2 adultos</t>
        </is>
      </c>
      <c r="D46" s="23" t="inlineStr">
        <is>
          <t>€ 20 por adulto · menores de 18 isentos · previsto para o 4º trimestre de 2026</t>
        </is>
      </c>
      <c r="E46" s="23" t="inlineStr">
        <is>
          <t>antes de 29/12</t>
        </is>
      </c>
      <c r="F46" s="23" t="n">
        <v>2</v>
      </c>
      <c r="G46" s="25" t="inlineStr"/>
      <c r="H46" s="25" t="inlineStr">
        <is>
          <t>EUR</t>
        </is>
      </c>
      <c r="I46" s="26" t="n"/>
      <c r="J46" s="25" t="n">
        <v>2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Confirmar se já estará em vigor na data do embarque.</t>
        </is>
      </c>
    </row>
    <row r="47">
      <c r="A47" s="23" t="n">
        <v>43</v>
      </c>
      <c r="B47" s="23" t="inlineStr">
        <is>
          <t>Seguro/Docs</t>
        </is>
      </c>
      <c r="C47" s="24" t="inlineStr">
        <is>
          <t>Autorização de viagem do menor · cartório</t>
        </is>
      </c>
      <c r="D47" s="23" t="inlineStr">
        <is>
          <t>Reconhecimento de firma dos dois pais, 2 vias · assinar antes de 29/12</t>
        </is>
      </c>
      <c r="E47" s="23" t="inlineStr">
        <is>
          <t>antes de 29/12</t>
        </is>
      </c>
      <c r="F47" s="23" t="n">
        <v>1</v>
      </c>
      <c r="G47" s="25" t="inlineStr"/>
      <c r="H47" s="25" t="inlineStr">
        <is>
          <t>BRL</t>
        </is>
      </c>
      <c r="I47" s="26" t="n"/>
      <c r="J47" s="25" t="n">
        <v>1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Custo de cartório, pago pelo cliente. Registrar aqui só para controle.</t>
        </is>
      </c>
    </row>
    <row r="48">
      <c r="A48" s="23" t="n">
        <v>44</v>
      </c>
      <c r="B48" s="23" t="inlineStr">
        <is>
          <t>Outros</t>
        </is>
      </c>
      <c r="C48" s="24" t="inlineStr">
        <is>
          <t>eSIM Europa · 5 linhas · 15 dias</t>
        </is>
      </c>
      <c r="D48" s="23" t="inlineStr">
        <is>
          <t>Dados para os cinco</t>
        </is>
      </c>
      <c r="E48" s="23" t="inlineStr">
        <is>
          <t>29/12 → 12/01</t>
        </is>
      </c>
      <c r="F48" s="23" t="n">
        <v>5</v>
      </c>
      <c r="G48" s="25" t="inlineStr"/>
      <c r="H48" s="25" t="inlineStr">
        <is>
          <t>BRL</t>
        </is>
      </c>
      <c r="I48" s="26" t="n"/>
      <c r="J48" s="25" t="n">
        <v>5</v>
      </c>
      <c r="K48" s="27">
        <f>IF(I48="","",I48*J48)</f>
        <v/>
      </c>
      <c r="L48" s="28" t="inlineStr"/>
      <c r="M48" s="25" t="inlineStr">
        <is>
          <t>Sim</t>
        </is>
      </c>
      <c r="N48" s="29">
        <f>IF(OR(M48&lt;&gt;"Sim",I48=""),0,K48*IF(H48="BRL",1,IF(H48="EUR",Parâmetros!$B$4,IF(H48="USD",Parâmetros!$B$5,1))))</f>
        <v/>
      </c>
      <c r="O48" s="25" t="inlineStr">
        <is>
          <t>A cotar</t>
        </is>
      </c>
      <c r="P48" s="30" t="inlineStr"/>
    </row>
    <row r="49"/>
    <row r="50">
      <c r="C50" s="21" t="inlineStr">
        <is>
          <t>SUBTOTAL EM R$ (itens marcados como Sim)</t>
        </is>
      </c>
      <c r="N50" s="31">
        <f>SUM(N5:N48)</f>
        <v/>
      </c>
    </row>
    <row r="51">
      <c r="C51" s="12" t="inlineStr">
        <is>
          <t>Taxa de serviço LusaTravel</t>
        </is>
      </c>
      <c r="N51" s="13">
        <f>N50*Parâmetros!$B$10</f>
        <v/>
      </c>
    </row>
    <row r="52">
      <c r="A52" s="32" t="n"/>
      <c r="B52" s="32" t="n"/>
      <c r="C52" s="33" t="inlineStr">
        <is>
          <t>TOTAL PARA O CLIENTE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4">
        <f>N50+N51</f>
        <v/>
      </c>
      <c r="O52" s="32" t="n"/>
      <c r="P52" s="32" t="n"/>
    </row>
    <row r="53">
      <c r="C53" s="2" t="inlineStr">
        <is>
          <t>*Nada reservado, apenas cotado.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8"/>
  <dataValidations count="3">
    <dataValidation sqref="O5:O48" showDropDown="0" showInputMessage="0" showErrorMessage="0" allowBlank="1" type="list">
      <formula1>"A cotar,Cotado,Aprovado pelo cliente,Reservado,Descartado"</formula1>
    </dataValidation>
    <dataValidation sqref="M5:M48" showDropDown="0" showInputMessage="0" showErrorMessage="0" allowBlank="0" type="list">
      <formula1>"Sim,Não"</formula1>
    </dataValidation>
    <dataValidation sqref="H5:H48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2026-09-21T13:58:19Z</dcterms:modified>
</cp:coreProperties>
</file>