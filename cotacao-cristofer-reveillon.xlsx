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COUNTIF(Cotação!$B$5:$B$37,A5)</f>
        <v/>
      </c>
      <c r="C5" s="5">
        <f>COUNTIFS(Cotação!$B$5:$B$37,A5,Cotação!$O$5:$O$37,"A cotar")</f>
        <v/>
      </c>
      <c r="D5" s="5">
        <f>COUNTIFS(Cotação!$B$5:$B$37,A5,Cotação!$O$5:$O$37,"&lt;&gt;A cotar")</f>
        <v/>
      </c>
      <c r="E5" s="6">
        <f>SUMIF(Cotação!$B$5:$B$37,A5,Cotação!$N$5:$N$37)</f>
        <v/>
      </c>
    </row>
    <row r="6">
      <c r="A6" s="4" t="inlineStr">
        <is>
          <t>Hotel</t>
        </is>
      </c>
      <c r="B6" s="5">
        <f>COUNTIF(Cotação!$B$5:$B$37,A6)</f>
        <v/>
      </c>
      <c r="C6" s="5">
        <f>COUNTIFS(Cotação!$B$5:$B$37,A6,Cotação!$O$5:$O$37,"A cotar")</f>
        <v/>
      </c>
      <c r="D6" s="5">
        <f>COUNTIFS(Cotação!$B$5:$B$37,A6,Cotação!$O$5:$O$37,"&lt;&gt;A cotar")</f>
        <v/>
      </c>
      <c r="E6" s="6">
        <f>SUMIF(Cotação!$B$5:$B$37,A6,Cotação!$N$5:$N$37)</f>
        <v/>
      </c>
    </row>
    <row r="7">
      <c r="A7" s="4" t="inlineStr">
        <is>
          <t>Trem</t>
        </is>
      </c>
      <c r="B7" s="5">
        <f>COUNTIF(Cotação!$B$5:$B$37,A7)</f>
        <v/>
      </c>
      <c r="C7" s="5">
        <f>COUNTIFS(Cotação!$B$5:$B$37,A7,Cotação!$O$5:$O$37,"A cotar")</f>
        <v/>
      </c>
      <c r="D7" s="5">
        <f>COUNTIFS(Cotação!$B$5:$B$37,A7,Cotação!$O$5:$O$37,"&lt;&gt;A cotar")</f>
        <v/>
      </c>
      <c r="E7" s="6">
        <f>SUMIF(Cotação!$B$5:$B$37,A7,Cotação!$N$5:$N$37)</f>
        <v/>
      </c>
    </row>
    <row r="8">
      <c r="A8" s="4" t="inlineStr">
        <is>
          <t>Transfer</t>
        </is>
      </c>
      <c r="B8" s="5">
        <f>COUNTIF(Cotação!$B$5:$B$37,A8)</f>
        <v/>
      </c>
      <c r="C8" s="5">
        <f>COUNTIFS(Cotação!$B$5:$B$37,A8,Cotação!$O$5:$O$37,"A cotar")</f>
        <v/>
      </c>
      <c r="D8" s="5">
        <f>COUNTIFS(Cotação!$B$5:$B$37,A8,Cotação!$O$5:$O$37,"&lt;&gt;A cotar")</f>
        <v/>
      </c>
      <c r="E8" s="6">
        <f>SUMIF(Cotação!$B$5:$B$37,A8,Cotação!$N$5:$N$37)</f>
        <v/>
      </c>
    </row>
    <row r="9">
      <c r="A9" s="4" t="inlineStr">
        <is>
          <t>Experiência</t>
        </is>
      </c>
      <c r="B9" s="5">
        <f>COUNTIF(Cotação!$B$5:$B$37,A9)</f>
        <v/>
      </c>
      <c r="C9" s="5">
        <f>COUNTIFS(Cotação!$B$5:$B$37,A9,Cotação!$O$5:$O$37,"A cotar")</f>
        <v/>
      </c>
      <c r="D9" s="5">
        <f>COUNTIFS(Cotação!$B$5:$B$37,A9,Cotação!$O$5:$O$37,"&lt;&gt;A cotar")</f>
        <v/>
      </c>
      <c r="E9" s="6">
        <f>SUMIF(Cotação!$B$5:$B$37,A9,Cotação!$N$5:$N$37)</f>
        <v/>
      </c>
    </row>
    <row r="10">
      <c r="A10" s="4" t="inlineStr">
        <is>
          <t>Seguro/Docs</t>
        </is>
      </c>
      <c r="B10" s="5">
        <f>COUNTIF(Cotação!$B$5:$B$37,A10)</f>
        <v/>
      </c>
      <c r="C10" s="5">
        <f>COUNTIFS(Cotação!$B$5:$B$37,A10,Cotação!$O$5:$O$37,"A cotar")</f>
        <v/>
      </c>
      <c r="D10" s="5">
        <f>COUNTIFS(Cotação!$B$5:$B$37,A10,Cotação!$O$5:$O$37,"&lt;&gt;A cotar")</f>
        <v/>
      </c>
      <c r="E10" s="6">
        <f>SUMIF(Cotação!$B$5:$B$37,A10,Cotação!$N$5:$N$37)</f>
        <v/>
      </c>
    </row>
    <row r="11">
      <c r="A11" s="4" t="inlineStr">
        <is>
          <t>Outros</t>
        </is>
      </c>
      <c r="B11" s="5">
        <f>COUNTIF(Cotação!$B$5:$B$37,A11)</f>
        <v/>
      </c>
      <c r="C11" s="5">
        <f>COUNTIFS(Cotação!$B$5:$B$37,A11,Cotação!$O$5:$O$37,"A cotar")</f>
        <v/>
      </c>
      <c r="D11" s="5">
        <f>COUNTIFS(Cotação!$B$5:$B$37,A11,Cotação!$O$5:$O$37,"&lt;&gt;A cotar")</f>
        <v/>
      </c>
      <c r="E11" s="6">
        <f>SUMIF(Cotação!$B$5:$B$37,A11,Cotação!$N$5:$N$37)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Confirmar que a Executive comporta 3 (pais + filho).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Hotel Indigo Paris Opéra, IHG 4★</t>
        </is>
      </c>
      <c r="D19" s="23" t="inlineStr">
        <is>
          <t>Rue de Châteaudun, 9º arr., entre a Ópera Garnier e Montmartre · 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Triplo resolve pais + filho sem depender de confirmação.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2146.59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conforme a página da Silverline em 21/09.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Disznókő · visita e prova · 2 adultos + 2 filhas</t>
        </is>
      </c>
      <c r="D35" s="23" t="inlineStr">
        <is>
          <t>Mezőzombor, a 20 min de Tolcsva · vinícola do grupo AXA Millésimes · segunda parada da tarde</t>
        </is>
      </c>
      <c r="E35" s="23" t="inlineStr">
        <is>
          <t>02/01</t>
        </is>
      </c>
      <c r="F35" s="23" t="n">
        <v>4</v>
      </c>
      <c r="G35" s="25" t="inlineStr">
        <is>
          <t>Disznókő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n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Aguardando valores da vinícola.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Almoço em vinícola ou restaurante em Tokaj · 4 pax</t>
        </is>
      </c>
      <c r="D36" s="23" t="inlineStr">
        <is>
          <t>Mád ou Tarcal</t>
        </is>
      </c>
      <c r="E36" s="23" t="inlineStr">
        <is>
          <t>02/01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Pode vir incluído no pacote do motorista-guia.</t>
        </is>
      </c>
    </row>
    <row r="37">
      <c r="A37" s="23" t="n">
        <v>33</v>
      </c>
      <c r="B37" s="23" t="inlineStr">
        <is>
          <t>Seguro/Docs</t>
        </is>
      </c>
      <c r="C37" s="24" t="inlineStr">
        <is>
          <t>Seguro viagem · 5 pax · 15 dias</t>
        </is>
      </c>
      <c r="D37" s="23" t="inlineStr">
        <is>
          <t>Plano 90 Essential · DMH USD 90.000 · 29/12 a 12/01</t>
        </is>
      </c>
      <c r="E37" s="23" t="inlineStr">
        <is>
          <t>29/12 → 12/01</t>
        </is>
      </c>
      <c r="F37" s="23" t="n">
        <v>5</v>
      </c>
      <c r="G37" s="25" t="inlineStr">
        <is>
          <t>31 Motivos</t>
        </is>
      </c>
      <c r="H37" s="25" t="inlineStr">
        <is>
          <t>BRL</t>
        </is>
      </c>
      <c r="I37" s="26" t="n">
        <v>300.6</v>
      </c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21/09: R$ 1.503,00 para os 5 (R$ 300,60 por pessoa). Confirmar se a apólice do filho cobre desde o embarque dele em 04/01.</t>
        </is>
      </c>
    </row>
    <row r="39">
      <c r="C39" s="21" t="inlineStr">
        <is>
          <t>SUBTOTAL EM R$ (itens marcados como Sim)</t>
        </is>
      </c>
      <c r="N39" s="31">
        <f>SUM(N5:N37)</f>
        <v/>
      </c>
    </row>
    <row r="40">
      <c r="C40" s="12" t="inlineStr">
        <is>
          <t>Taxa de serviço LusaTravel</t>
        </is>
      </c>
      <c r="N40" s="13">
        <f>N39*Parâmetros!$B$10</f>
        <v/>
      </c>
    </row>
    <row r="41">
      <c r="A41" s="32" t="n"/>
      <c r="B41" s="32" t="n"/>
      <c r="C41" s="33" t="inlineStr">
        <is>
          <t>TOTAL PARA O CLIENTE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4">
        <f>N39+N40</f>
        <v/>
      </c>
      <c r="O41" s="32" t="n"/>
      <c r="P41" s="32" t="n"/>
    </row>
    <row r="42">
      <c r="C42" s="2" t="inlineStr">
        <is>
          <t>*Nada reservado, apenas cotado.</t>
        </is>
      </c>
    </row>
  </sheetData>
  <autoFilter ref="A4:P37"/>
  <dataValidations count="3">
    <dataValidation sqref="O5:O37" showDropDown="0" showInputMessage="0" showErrorMessage="0" allowBlank="1" type="list">
      <formula1>"A cotar,Cotado,Aprovado pelo cliente,Reservado,Descartado"</formula1>
    </dataValidation>
    <dataValidation sqref="M5:M37" showDropDown="0" showInputMessage="0" showErrorMessage="0" allowBlank="0" type="list">
      <formula1>"Sim,Não"</formula1>
    </dataValidation>
    <dataValidation sqref="H5:H3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2026-09-21T18:45:19Z</dcterms:modified>
</cp:coreProperties>
</file>