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COUNTIF(Cotação!$B$5:$B$47,A5)</f>
        <v/>
      </c>
      <c r="C5" s="5">
        <f>COUNTIFS(Cotação!$B$5:$B$47,A5,Cotação!$O$5:$O$47,"A cotar")</f>
        <v/>
      </c>
      <c r="D5" s="5">
        <f>COUNTIFS(Cotação!$B$5:$B$47,A5,Cotação!$O$5:$O$47,"&lt;&gt;A cotar")</f>
        <v/>
      </c>
      <c r="E5" s="6">
        <f>SUMIF(Cotação!$B$5:$B$47,A5,Cotação!$N$5:$N$47)</f>
        <v/>
      </c>
    </row>
    <row r="6">
      <c r="A6" s="4" t="inlineStr">
        <is>
          <t>Hotel</t>
        </is>
      </c>
      <c r="B6" s="5">
        <f>COUNTIF(Cotação!$B$5:$B$47,A6)</f>
        <v/>
      </c>
      <c r="C6" s="5">
        <f>COUNTIFS(Cotação!$B$5:$B$47,A6,Cotação!$O$5:$O$47,"A cotar")</f>
        <v/>
      </c>
      <c r="D6" s="5">
        <f>COUNTIFS(Cotação!$B$5:$B$47,A6,Cotação!$O$5:$O$47,"&lt;&gt;A cotar")</f>
        <v/>
      </c>
      <c r="E6" s="6">
        <f>SUMIF(Cotação!$B$5:$B$47,A6,Cotação!$N$5:$N$47)</f>
        <v/>
      </c>
    </row>
    <row r="7">
      <c r="A7" s="4" t="inlineStr">
        <is>
          <t>Trem</t>
        </is>
      </c>
      <c r="B7" s="5">
        <f>COUNTIF(Cotação!$B$5:$B$47,A7)</f>
        <v/>
      </c>
      <c r="C7" s="5">
        <f>COUNTIFS(Cotação!$B$5:$B$47,A7,Cotação!$O$5:$O$47,"A cotar")</f>
        <v/>
      </c>
      <c r="D7" s="5">
        <f>COUNTIFS(Cotação!$B$5:$B$47,A7,Cotação!$O$5:$O$47,"&lt;&gt;A cotar")</f>
        <v/>
      </c>
      <c r="E7" s="6">
        <f>SUMIF(Cotação!$B$5:$B$47,A7,Cotação!$N$5:$N$47)</f>
        <v/>
      </c>
    </row>
    <row r="8">
      <c r="A8" s="4" t="inlineStr">
        <is>
          <t>Transfer</t>
        </is>
      </c>
      <c r="B8" s="5">
        <f>COUNTIF(Cotação!$B$5:$B$47,A8)</f>
        <v/>
      </c>
      <c r="C8" s="5">
        <f>COUNTIFS(Cotação!$B$5:$B$47,A8,Cotação!$O$5:$O$47,"A cotar")</f>
        <v/>
      </c>
      <c r="D8" s="5">
        <f>COUNTIFS(Cotação!$B$5:$B$47,A8,Cotação!$O$5:$O$47,"&lt;&gt;A cotar")</f>
        <v/>
      </c>
      <c r="E8" s="6">
        <f>SUMIF(Cotação!$B$5:$B$47,A8,Cotação!$N$5:$N$47)</f>
        <v/>
      </c>
    </row>
    <row r="9">
      <c r="A9" s="4" t="inlineStr">
        <is>
          <t>Experiência</t>
        </is>
      </c>
      <c r="B9" s="5">
        <f>COUNTIF(Cotação!$B$5:$B$47,A9)</f>
        <v/>
      </c>
      <c r="C9" s="5">
        <f>COUNTIFS(Cotação!$B$5:$B$47,A9,Cotação!$O$5:$O$47,"A cotar")</f>
        <v/>
      </c>
      <c r="D9" s="5">
        <f>COUNTIFS(Cotação!$B$5:$B$47,A9,Cotação!$O$5:$O$47,"&lt;&gt;A cotar")</f>
        <v/>
      </c>
      <c r="E9" s="6">
        <f>SUMIF(Cotação!$B$5:$B$47,A9,Cotação!$N$5:$N$47)</f>
        <v/>
      </c>
    </row>
    <row r="10">
      <c r="A10" s="4" t="inlineStr">
        <is>
          <t>Seguro/Docs</t>
        </is>
      </c>
      <c r="B10" s="5">
        <f>COUNTIF(Cotação!$B$5:$B$47,A10)</f>
        <v/>
      </c>
      <c r="C10" s="5">
        <f>COUNTIFS(Cotação!$B$5:$B$47,A10,Cotação!$O$5:$O$47,"A cotar")</f>
        <v/>
      </c>
      <c r="D10" s="5">
        <f>COUNTIFS(Cotação!$B$5:$B$47,A10,Cotação!$O$5:$O$47,"&lt;&gt;A cotar")</f>
        <v/>
      </c>
      <c r="E10" s="6">
        <f>SUMIF(Cotação!$B$5:$B$47,A10,Cotação!$N$5:$N$47)</f>
        <v/>
      </c>
    </row>
    <row r="11">
      <c r="A11" s="4" t="inlineStr">
        <is>
          <t>Outros</t>
        </is>
      </c>
      <c r="B11" s="5">
        <f>COUNTIF(Cotação!$B$5:$B$47,A11)</f>
        <v/>
      </c>
      <c r="C11" s="5">
        <f>COUNTIFS(Cotação!$B$5:$B$47,A11,Cotação!$O$5:$O$47,"A cotar")</f>
        <v/>
      </c>
      <c r="D11" s="5">
        <f>COUNTIFS(Cotação!$B$5:$B$47,A11,Cotação!$O$5:$O$47,"&lt;&gt;A cotar")</f>
        <v/>
      </c>
      <c r="E11" s="6">
        <f>SUMIF(Cotação!$B$5:$B$47,A11,Cotação!$N$5:$N$47)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AF1139 VIE 10/01 12:55 → CDG 15:10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11607.25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Cotação recebida em 20/09: R$ 11.607,25 (USD 2.250,56). RECOTAR: o 3º trecho saiu de Viena, mas em 10/01 o filho está em Praga com a família — precisa ser PRG → CDG (ideal AF1183 09:50, o mesmo dos 4). A volta CDG → GRU está no AF454 23:20, e a família no LA8133 12:05: alinhar num só voo, ou trocar todos para o noturno e ganhar o dia 12 inteiro em Paris.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A cotar</t>
        </is>
      </c>
      <c r="P7" s="30" t="inlineStr">
        <is>
          <t>Aguardando recotação do bilhete do filho com PRG → CDG. Se o trecho entrar no multitrecho dele, marcar esta linha como Não.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InterContinental Budapest 5★</t>
        </is>
      </c>
      <c r="D9" s="23" t="inlineStr">
        <is>
          <t>Margem do Danúbio, vista para o Castelo · 2 quartos duplos · café da manhã · 4 noites</t>
        </is>
      </c>
      <c r="E9" s="23" t="inlineStr">
        <is>
          <t>30/12 → 03/01</t>
        </is>
      </c>
      <c r="F9" s="23" t="n">
        <v>4</v>
      </c>
      <c r="G9" s="25" t="inlineStr"/>
      <c r="H9" s="25" t="inlineStr">
        <is>
          <t>EUR</t>
        </is>
      </c>
      <c r="I9" s="26" t="n"/>
      <c r="J9" s="25" t="n">
        <v>4</v>
      </c>
      <c r="K9" s="27">
        <f>IF(I9="","",I9*J9)</f>
        <v/>
      </c>
      <c r="L9" s="28" t="inlineStr">
        <is>
          <t>€ 2.398 · 4 noites · 2 quartos · 2 adultos + 2 crianças</t>
        </is>
      </c>
      <c r="M9" s="25" t="inlineStr">
        <is>
          <t>Sim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Valor unitário = diária dos 2 quartos somados. Mínimo de noites no Réveillon: confirmar.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Corinthia Budapest 5★</t>
        </is>
      </c>
      <c r="D10" s="23" t="inlineStr">
        <is>
          <t>Erzsébet körút, spa e piscina coberta, quartos para família · 2 quartos · café · 4 noites</t>
        </is>
      </c>
      <c r="E10" s="23" t="inlineStr">
        <is>
          <t>30/12 → 03/01</t>
        </is>
      </c>
      <c r="F10" s="23" t="n">
        <v>4</v>
      </c>
      <c r="G10" s="25" t="inlineStr"/>
      <c r="H10" s="25" t="inlineStr">
        <is>
          <t>EUR</t>
        </is>
      </c>
      <c r="I10" s="26" t="n"/>
      <c r="J10" s="25" t="n">
        <v>4</v>
      </c>
      <c r="K10" s="27">
        <f>IF(I10="","",I10*J10)</f>
        <v/>
      </c>
      <c r="L10" s="28" t="inlineStr">
        <is>
          <t>€ 2.939 · 4 noites · 2 quartos · 2 adultos + 2 crianças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A cotar</t>
        </is>
      </c>
      <c r="P10" s="30" t="inlineStr">
        <is>
          <t>Alternativa com spa próprio, bom para o dia 01/01.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Viena · Opção 1 · Steigenberger Icon Herrenhof 5★</t>
        </is>
      </c>
      <c r="D11" s="23" t="inlineStr">
        <is>
          <t>Herrengasse, Innere Stadt, a 5 min do Hofburg · 2 quartos · café · 4 noites</t>
        </is>
      </c>
      <c r="E11" s="23" t="inlineStr">
        <is>
          <t>03/01 → 07/01</t>
        </is>
      </c>
      <c r="F11" s="23" t="n">
        <v>4</v>
      </c>
      <c r="G11" s="25" t="inlineStr"/>
      <c r="H11" s="25" t="inlineStr">
        <is>
          <t>EUR</t>
        </is>
      </c>
      <c r="I11" s="26" t="n"/>
      <c r="J11" s="25" t="n">
        <v>4</v>
      </c>
      <c r="K11" s="27">
        <f>IF(I11="","",I11*J11)</f>
        <v/>
      </c>
      <c r="L11" s="28" t="inlineStr">
        <is>
          <t>€ 1.862 · 4 noites · 2 quartos · 2 adultos + 2 crianças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A cotar</t>
        </is>
      </c>
      <c r="P11" s="30" t="inlineStr">
        <is>
          <t>Cotar também cama extra ou 3º quarto de 05 a 07/01 (linha própria abaixo).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2 · Hotel Sacher Wien 5★</t>
        </is>
      </c>
      <c r="D12" s="23" t="inlineStr">
        <is>
          <t>Ao lado da Ópera, o hotel da Sachertorte · 2 quartos · café · 4 noites</t>
        </is>
      </c>
      <c r="E12" s="23" t="inlineStr">
        <is>
          <t>03/01 → 07/01</t>
        </is>
      </c>
      <c r="F12" s="23" t="n">
        <v>4</v>
      </c>
      <c r="G12" s="25" t="inlineStr"/>
      <c r="H12" s="25" t="inlineStr">
        <is>
          <t>EUR</t>
        </is>
      </c>
      <c r="I12" s="26" t="n"/>
      <c r="J12" s="25" t="n">
        <v>4</v>
      </c>
      <c r="K12" s="27">
        <f>IF(I12="","",I12*J12)</f>
        <v/>
      </c>
      <c r="L12" s="28" t="inlineStr">
        <is>
          <t>€ 4.350 · 4 noites · 2 quartos · 2 adultos + 2 crianças</t>
        </is>
      </c>
      <c r="M12" s="25" t="inlineStr">
        <is>
          <t>Não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Opção icônica. Preço bem acima da Opção 1.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cama extra ou 3º quarto para o filho</t>
        </is>
      </c>
      <c r="D13" s="23" t="inlineStr">
        <is>
          <t>2 noites, a partir da chegada em 05/01, no hotel escolhido</t>
        </is>
      </c>
      <c r="E13" s="23" t="inlineStr">
        <is>
          <t>05/01 → 07/01</t>
        </is>
      </c>
      <c r="F13" s="23" t="n">
        <v>1</v>
      </c>
      <c r="G13" s="25" t="inlineStr"/>
      <c r="H13" s="25" t="inlineStr">
        <is>
          <t>EUR</t>
        </is>
      </c>
      <c r="I13" s="26" t="n"/>
      <c r="J13" s="25" t="n">
        <v>2</v>
      </c>
      <c r="K13" s="27">
        <f>IF(I13="","",I13*J13)</f>
        <v/>
      </c>
      <c r="L13" s="28" t="inlineStr"/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Valor unitário = diária. Se o hotel oferecer triplo, ajustar a Opção escolhida em vez desta linha.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Praga · Opção 1 · Art Nouveau Palace Hotel 5★</t>
        </is>
      </c>
      <c r="D14" s="23" t="inlineStr">
        <is>
          <t>Panská, Cidade Nova, a 5 min da Praça da Cidade Velha · 2 quartos (5 pax) · café · 3 noites</t>
        </is>
      </c>
      <c r="E14" s="23" t="inlineStr">
        <is>
          <t>07/01 → 10/01</t>
        </is>
      </c>
      <c r="F14" s="23" t="n">
        <v>5</v>
      </c>
      <c r="G14" s="25" t="inlineStr"/>
      <c r="H14" s="25" t="inlineStr">
        <is>
          <t>EUR</t>
        </is>
      </c>
      <c r="I14" s="26" t="n"/>
      <c r="J14" s="25" t="n">
        <v>3</v>
      </c>
      <c r="K14" s="27">
        <f>IF(I14="","",I14*J14)</f>
        <v/>
      </c>
      <c r="L14" s="28" t="inlineStr">
        <is>
          <t>€ 812 · 3 noites · 2 quartos · 3 adultos + 2 crianças</t>
        </is>
      </c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 dos 2 quartos somados, já com 5 pax.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2 · Hilton Prague Old Town 5★</t>
        </is>
      </c>
      <c r="D15" s="23" t="inlineStr">
        <is>
          <t>V Celnici, junto à Praça da República, piscina coberta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€ 1.041 · 3 noites · 2 quartos · 3 adultos + 2 crianças</t>
        </is>
      </c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/>
    </row>
    <row r="16">
      <c r="A16" s="23" t="n">
        <v>12</v>
      </c>
      <c r="B16" s="23" t="inlineStr">
        <is>
          <t>Hotel</t>
        </is>
      </c>
      <c r="C16" s="24" t="inlineStr">
        <is>
          <t>Paris · Opção 1 · Castille Paris 5★</t>
        </is>
      </c>
      <c r="D16" s="23" t="inlineStr">
        <is>
          <t>Rue Cambon, 1º arr., entre Louvre e Madeleine · 2 quartos (5 pax) · café · 2 noites</t>
        </is>
      </c>
      <c r="E16" s="23" t="inlineStr">
        <is>
          <t>10/01 → 12/01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2</v>
      </c>
      <c r="K16" s="27">
        <f>IF(I16="","",I16*J16)</f>
        <v/>
      </c>
      <c r="L16" s="28" t="inlineStr">
        <is>
          <t>€ 1.509 · 2 noites · 2 quartos · 3 adultos + 2 crianças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>
        <is>
          <t>Valor unitário = diária dos 2 quartos somados.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2 · Hôtel Napoleon Paris 5★</t>
        </is>
      </c>
      <c r="D17" s="23" t="inlineStr">
        <is>
          <t>Av. de Friedland, 8º arr., a 100 m do Arco do Triunfo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€ 1.593 · 2 noites · 2 quartos · 3 adultos + 2 crianças</t>
        </is>
      </c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/>
    </row>
    <row r="18">
      <c r="A18" s="23" t="n">
        <v>14</v>
      </c>
      <c r="B18" s="23" t="inlineStr">
        <is>
          <t>Trem</t>
        </is>
      </c>
      <c r="C18" s="24" t="inlineStr">
        <is>
          <t>Railjet Budapeste → Viena · 4 pax</t>
        </is>
      </c>
      <c r="D18" s="23" t="inlineStr">
        <is>
          <t>Budapest-Keleti → Wien Hbf · 2h40 · 1ª classe · assentos marcados</t>
        </is>
      </c>
      <c r="E18" s="23" t="inlineStr">
        <is>
          <t>03/01</t>
        </is>
      </c>
      <c r="F18" s="23" t="n">
        <v>4</v>
      </c>
      <c r="G18" s="25" t="inlineStr"/>
      <c r="H18" s="25" t="inlineStr">
        <is>
          <t>EUR</t>
        </is>
      </c>
      <c r="I18" s="26" t="n"/>
      <c r="J18" s="25" t="n">
        <v>4</v>
      </c>
      <c r="K18" s="27">
        <f>IF(I18="","",I18*J18)</f>
        <v/>
      </c>
      <c r="L18" s="28" t="inlineStr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por passageiro. Abre venda ~180 dias antes; tarifa Sparschiene é a mais barata.</t>
        </is>
      </c>
    </row>
    <row r="19">
      <c r="A19" s="23" t="n">
        <v>15</v>
      </c>
      <c r="B19" s="23" t="inlineStr">
        <is>
          <t>Trem</t>
        </is>
      </c>
      <c r="C19" s="24" t="inlineStr">
        <is>
          <t>Railjet Viena → Praga · 5 pax</t>
        </is>
      </c>
      <c r="D19" s="23" t="inlineStr">
        <is>
          <t>Wien Hbf → Praha hl.n. · 4h · 1ª classe · assentos marcados</t>
        </is>
      </c>
      <c r="E19" s="23" t="inlineStr">
        <is>
          <t>07/01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5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</t>
        </is>
      </c>
    </row>
    <row r="20">
      <c r="A20" s="23" t="n">
        <v>16</v>
      </c>
      <c r="B20" s="23" t="inlineStr">
        <is>
          <t>Transfer</t>
        </is>
      </c>
      <c r="C20" s="24" t="inlineStr">
        <is>
          <t>Budapeste · aeroporto → hotel · 4 pax</t>
        </is>
      </c>
      <c r="D20" s="23" t="inlineStr">
        <is>
          <t>Van privativa com recepção no desembarque</t>
        </is>
      </c>
      <c r="E20" s="23" t="inlineStr">
        <is>
          <t>30/12</t>
        </is>
      </c>
      <c r="F20" s="23" t="n">
        <v>4</v>
      </c>
      <c r="G20" s="25" t="inlineStr"/>
      <c r="H20" s="25" t="inlineStr">
        <is>
          <t>EUR</t>
        </is>
      </c>
      <c r="I20" s="26" t="n"/>
      <c r="J20" s="25" t="n">
        <v>1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veículo.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hotel → estação Keleti · 4 pax</t>
        </is>
      </c>
      <c r="D21" s="23" t="inlineStr">
        <is>
          <t>Carro ou van privativa</t>
        </is>
      </c>
      <c r="E21" s="23" t="inlineStr">
        <is>
          <t>03/01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/>
    </row>
    <row r="22">
      <c r="A22" s="23" t="n">
        <v>18</v>
      </c>
      <c r="B22" s="23" t="inlineStr">
        <is>
          <t>Transfer</t>
        </is>
      </c>
      <c r="C22" s="24" t="inlineStr">
        <is>
          <t>Viena · estação Hbf → hotel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aeroporto → hotel · filho · 1 pax</t>
        </is>
      </c>
      <c r="D23" s="23" t="inlineStr">
        <is>
          <t>Motorista com placa no desembarque · reforçar: menor viajando só</t>
        </is>
      </c>
      <c r="E23" s="23" t="inlineStr">
        <is>
          <t>05/01</t>
        </is>
      </c>
      <c r="F23" s="23" t="n">
        <v>1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hotel → estação Hbf · 5 pax</t>
        </is>
      </c>
      <c r="D24" s="23" t="inlineStr">
        <is>
          <t>Van privativa</t>
        </is>
      </c>
      <c r="E24" s="23" t="inlineStr">
        <is>
          <t>07/01</t>
        </is>
      </c>
      <c r="F24" s="23" t="n">
        <v>5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Praga · estação hl.n. → hotel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hotel → aeroporto · 5 pax</t>
        </is>
      </c>
      <c r="D26" s="23" t="inlineStr">
        <is>
          <t>Van privativa</t>
        </is>
      </c>
      <c r="E26" s="23" t="inlineStr">
        <is>
          <t>10/01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Paris · CDG → hotel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hotel → CDG · 5 pax</t>
        </is>
      </c>
      <c r="D28" s="23" t="inlineStr">
        <is>
          <t>Van privativa</t>
        </is>
      </c>
      <c r="E28" s="23" t="inlineStr">
        <is>
          <t>12/01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Experiência</t>
        </is>
      </c>
      <c r="C29" s="24" t="inlineStr">
        <is>
          <t>Réveillon · jantar de gala em cruzeiro no Danúbio · 4 pax</t>
        </is>
      </c>
      <c r="D29" s="23" t="inlineStr">
        <is>
          <t>Embarque ~22h, jantar de vários pratos, música ao vivo, brinde à meia-noite, desembarque ~1h–2h</t>
        </is>
      </c>
      <c r="E29" s="23" t="inlineStr">
        <is>
          <t>31/12</t>
        </is>
      </c>
      <c r="F29" s="23" t="n">
        <v>4</v>
      </c>
      <c r="G29" s="25" t="inlineStr"/>
      <c r="H29" s="25" t="inlineStr">
        <is>
          <t>EUR</t>
        </is>
      </c>
      <c r="I29" s="26" t="n"/>
      <c r="J29" s="25" t="n">
        <v>4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>
        <is>
          <t>Valor unitário = por pessoa. Esgota em novembro. Confirmar menu para adolescentes.</t>
        </is>
      </c>
    </row>
    <row r="30">
      <c r="A30" s="23" t="n">
        <v>26</v>
      </c>
      <c r="B30" s="23" t="inlineStr">
        <is>
          <t>Experiência</t>
        </is>
      </c>
      <c r="C30" s="24" t="inlineStr">
        <is>
          <t>Tokaj · motorista-guia privativo · dia inteiro · 4 pax</t>
        </is>
      </c>
      <c r="D30" s="23" t="inlineStr">
        <is>
          <t>Saída 8h de Budapeste, Oremus (Tolcsva) + segunda vinícola + almoço em Mád/Tarcal, retorno ~19h</t>
        </is>
      </c>
      <c r="E30" s="23" t="inlineStr">
        <is>
          <t>02/01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veículo/dia. Motorista não bebe: tolerância zero na Hungria.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Oremus · visita à adega e prova · 2 adultos</t>
        </is>
      </c>
      <c r="D31" s="23" t="inlineStr">
        <is>
          <t>Agendamento por e-mail · ~1h · adolescentes acompanham sem álcool</t>
        </is>
      </c>
      <c r="E31" s="23" t="inlineStr">
        <is>
          <t>02/01</t>
        </is>
      </c>
      <c r="F31" s="23" t="n">
        <v>2</v>
      </c>
      <c r="G31" s="25" t="inlineStr"/>
      <c r="H31" s="25" t="inlineStr">
        <is>
          <t>EUR</t>
        </is>
      </c>
      <c r="I31" s="26" t="n"/>
      <c r="J31" s="25" t="n">
        <v>2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pessoa. Confirmar recepção no sábado 02/01. Plano B: segunda 04/01.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Almoço em vinícola ou restaurante em Tokaj · 4 pax</t>
        </is>
      </c>
      <c r="D32" s="23" t="inlineStr">
        <is>
          <t>Mád ou Tarcal</t>
        </is>
      </c>
      <c r="E32" s="23" t="inlineStr">
        <is>
          <t>02/01</t>
        </is>
      </c>
      <c r="F32" s="23" t="n">
        <v>4</v>
      </c>
      <c r="G32" s="25" t="inlineStr"/>
      <c r="H32" s="25" t="inlineStr">
        <is>
          <t>EUR</t>
        </is>
      </c>
      <c r="I32" s="26" t="n"/>
      <c r="J32" s="25" t="n">
        <v>4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Pode vir incluído no pacote do motorista-guia.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Termas Széchenyi · 4 pax</t>
        </is>
      </c>
      <c r="D33" s="23" t="inlineStr">
        <is>
          <t>Ingresso dia inteiro com cabine · aberto em 01/01</t>
        </is>
      </c>
      <c r="E33" s="23" t="inlineStr">
        <is>
          <t>01/01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/>
    </row>
    <row r="34">
      <c r="A34" s="23" t="n">
        <v>30</v>
      </c>
      <c r="B34" s="23" t="inlineStr">
        <is>
          <t>Experiência</t>
        </is>
      </c>
      <c r="C34" s="24" t="inlineStr">
        <is>
          <t>Schönbrunn · Grand Tour · 4 pax</t>
        </is>
      </c>
      <c r="D34" s="23" t="inlineStr">
        <is>
          <t>Entrada com hora marcada · mercado de Ano Novo no pátio até 06/01</t>
        </is>
      </c>
      <c r="E34" s="23" t="inlineStr">
        <is>
          <t>04/01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Concerto Orquestra do Hofburg ou Musikverein · 4 pax</t>
        </is>
      </c>
      <c r="D35" s="23" t="inlineStr">
        <is>
          <t>Strauss e Mozart · categoria de assento a definir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Concerto de Ano Novo da Filarmônica (01/01) é por sorteio já encerrado.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Prater · Roda Gigante · 5 pax</t>
        </is>
      </c>
      <c r="D36" s="23" t="inlineStr">
        <is>
          <t>Ingresso · mercado de inverno na praça até 06/01</t>
        </is>
      </c>
      <c r="E36" s="23" t="inlineStr">
        <is>
          <t>05/01</t>
        </is>
      </c>
      <c r="F36" s="23" t="n">
        <v>5</v>
      </c>
      <c r="G36" s="25" t="inlineStr"/>
      <c r="H36" s="25" t="inlineStr">
        <is>
          <t>EUR</t>
        </is>
      </c>
      <c r="I36" s="26" t="n"/>
      <c r="J36" s="25" t="n">
        <v>5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/>
    </row>
    <row r="37">
      <c r="A37" s="23" t="n">
        <v>33</v>
      </c>
      <c r="B37" s="23" t="inlineStr">
        <is>
          <t>Experiência</t>
        </is>
      </c>
      <c r="C37" s="24" t="inlineStr">
        <is>
          <t>Belvedere Superior · 5 pax</t>
        </is>
      </c>
      <c r="D37" s="23" t="inlineStr">
        <is>
          <t>Ingresso · O Beijo de Klimt</t>
        </is>
      </c>
      <c r="E37" s="23" t="inlineStr">
        <is>
          <t>06/01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Opcional · Ópera Estatal de Viena · 5 pax</t>
        </is>
      </c>
      <c r="D38" s="23" t="inlineStr">
        <is>
          <t>Récita da noite · verificar programa de 06/01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Não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Só entra se o cliente pedir.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Castelo de Praga · circuito B · 5 pax</t>
        </is>
      </c>
      <c r="D39" s="23" t="inlineStr">
        <is>
          <t>Catedral de São Vito, Palácio Real Antigo, Ruela Dourada</t>
        </is>
      </c>
      <c r="E39" s="23" t="inlineStr">
        <is>
          <t>08/01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/>
    </row>
    <row r="40">
      <c r="A40" s="23" t="n">
        <v>36</v>
      </c>
      <c r="B40" s="23" t="inlineStr">
        <is>
          <t>Experiência</t>
        </is>
      </c>
      <c r="C40" s="24" t="inlineStr">
        <is>
          <t>Teatro de luz negra · 5 pax</t>
        </is>
      </c>
      <c r="D40" s="23" t="inlineStr">
        <is>
          <t>Sessão da noite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Torre Eiffel · topo · 5 pax</t>
        </is>
      </c>
      <c r="D41" s="23" t="inlineStr">
        <is>
          <t>Entrada com hora marcada · abre venda 60 dias antes</t>
        </is>
      </c>
      <c r="E41" s="23" t="inlineStr">
        <is>
          <t>10/01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>
        <is>
          <t>Reservar exatamente em 11/11 para garantir horário.</t>
        </is>
      </c>
    </row>
    <row r="42">
      <c r="A42" s="23" t="n">
        <v>38</v>
      </c>
      <c r="B42" s="23" t="inlineStr">
        <is>
          <t>Experiência</t>
        </is>
      </c>
      <c r="C42" s="24" t="inlineStr">
        <is>
          <t>Louvre · 5 pax</t>
        </is>
      </c>
      <c r="D42" s="23" t="inlineStr">
        <is>
          <t>Entrada com hora marcada · menores de 18 gratuitos</t>
        </is>
      </c>
      <c r="E42" s="23" t="inlineStr">
        <is>
          <t>11/01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2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Qtd = 2 adultos pagantes.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Cruzeiro no Sena com jantar · 5 pax</t>
        </is>
      </c>
      <c r="D43" s="23" t="inlineStr">
        <is>
          <t>Bateaux Parisiens ou Bateaux-Mouches · jantar da noite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5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/>
    </row>
    <row r="44">
      <c r="A44" s="23" t="n">
        <v>40</v>
      </c>
      <c r="B44" s="23" t="inlineStr">
        <is>
          <t>Seguro/Docs</t>
        </is>
      </c>
      <c r="C44" s="24" t="inlineStr">
        <is>
          <t>Seguro viagem · 5 pax · 15 dias</t>
        </is>
      </c>
      <c r="D44" s="23" t="inlineStr">
        <is>
          <t>Cobertura médica mínima € 30.000 (Schengen) · bagagem · cancelamento</t>
        </is>
      </c>
      <c r="E44" s="23" t="inlineStr">
        <is>
          <t>29/12 → 12/01</t>
        </is>
      </c>
      <c r="F44" s="23" t="n">
        <v>5</v>
      </c>
      <c r="G44" s="25" t="inlineStr"/>
      <c r="H44" s="25" t="inlineStr">
        <is>
          <t>BRL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>
        <is>
          <t>Valor unitário = por pessoa. Filho com vigência a partir de 04/01 pode sair mais barato.</t>
        </is>
      </c>
    </row>
    <row r="45">
      <c r="A45" s="23" t="n">
        <v>41</v>
      </c>
      <c r="B45" s="23" t="inlineStr">
        <is>
          <t>Seguro/Docs</t>
        </is>
      </c>
      <c r="C45" s="24" t="inlineStr">
        <is>
          <t>ETIAS · 2 adultos</t>
        </is>
      </c>
      <c r="D45" s="23" t="inlineStr">
        <is>
          <t>€ 20 por adulto · menores de 18 isentos · previsto para o 4º trimestre de 2026</t>
        </is>
      </c>
      <c r="E45" s="23" t="inlineStr">
        <is>
          <t>antes de 29/12</t>
        </is>
      </c>
      <c r="F45" s="23" t="n">
        <v>2</v>
      </c>
      <c r="G45" s="25" t="inlineStr"/>
      <c r="H45" s="25" t="inlineStr">
        <is>
          <t>EUR</t>
        </is>
      </c>
      <c r="I45" s="26" t="n"/>
      <c r="J45" s="25" t="n">
        <v>2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Confirmar se já estará em vigor na data do embarque.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Autorização de viagem do menor · cartório</t>
        </is>
      </c>
      <c r="D46" s="23" t="inlineStr">
        <is>
          <t>Reconhecimento de firma dos dois pais, 2 vias · assinar antes de 29/12</t>
        </is>
      </c>
      <c r="E46" s="23" t="inlineStr">
        <is>
          <t>antes de 29/12</t>
        </is>
      </c>
      <c r="F46" s="23" t="n">
        <v>1</v>
      </c>
      <c r="G46" s="25" t="inlineStr"/>
      <c r="H46" s="25" t="inlineStr">
        <is>
          <t>BRL</t>
        </is>
      </c>
      <c r="I46" s="26" t="n"/>
      <c r="J46" s="25" t="n">
        <v>1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Custo de cartório, pago pelo cliente. Registrar aqui só para controle.</t>
        </is>
      </c>
    </row>
    <row r="47">
      <c r="A47" s="23" t="n">
        <v>43</v>
      </c>
      <c r="B47" s="23" t="inlineStr">
        <is>
          <t>Outros</t>
        </is>
      </c>
      <c r="C47" s="24" t="inlineStr">
        <is>
          <t>eSIM Europa · 5 linhas · 15 dias</t>
        </is>
      </c>
      <c r="D47" s="23" t="inlineStr">
        <is>
          <t>Dados para os cinco</t>
        </is>
      </c>
      <c r="E47" s="23" t="inlineStr">
        <is>
          <t>29/12 → 12/01</t>
        </is>
      </c>
      <c r="F47" s="23" t="n">
        <v>5</v>
      </c>
      <c r="G47" s="25" t="inlineStr"/>
      <c r="H47" s="25" t="inlineStr">
        <is>
          <t>BRL</t>
        </is>
      </c>
      <c r="I47" s="26" t="n"/>
      <c r="J47" s="25" t="n">
        <v>5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/>
    </row>
    <row r="48"/>
    <row r="49">
      <c r="C49" s="21" t="inlineStr">
        <is>
          <t>SUBTOTAL EM R$ (itens marcados como Sim)</t>
        </is>
      </c>
      <c r="N49" s="31">
        <f>SUM(N5:N47)</f>
        <v/>
      </c>
    </row>
    <row r="50">
      <c r="C50" s="12" t="inlineStr">
        <is>
          <t>Taxa de serviço LusaTravel</t>
        </is>
      </c>
      <c r="N50" s="13">
        <f>N49*Parâmetros!$B$10</f>
        <v/>
      </c>
    </row>
    <row r="51">
      <c r="A51" s="32" t="n"/>
      <c r="B51" s="32" t="n"/>
      <c r="C51" s="33" t="inlineStr">
        <is>
          <t>TOTAL PARA O CLIENTE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4">
        <f>N49+N50</f>
        <v/>
      </c>
      <c r="O51" s="32" t="n"/>
      <c r="P51" s="32" t="n"/>
    </row>
    <row r="52">
      <c r="C52" s="2" t="inlineStr">
        <is>
          <t>*Nada reservado, apenas cotado.</t>
        </is>
      </c>
    </row>
    <row r="53"/>
    <row r="54"/>
    <row r="55"/>
    <row r="56"/>
    <row r="57"/>
    <row r="58"/>
    <row r="59"/>
  </sheetData>
  <autoFilter ref="A4:P47"/>
  <dataValidations count="3">
    <dataValidation sqref="O5:O47" showDropDown="0" showInputMessage="0" showErrorMessage="0" allowBlank="1" type="list">
      <formula1>"A cotar,Cotado,Aprovado pelo cliente,Reservado,Descartado"</formula1>
    </dataValidation>
    <dataValidation sqref="M5:M47" showDropDown="0" showInputMessage="0" showErrorMessage="0" allowBlank="0" type="list">
      <formula1>"Sim,Não"</formula1>
    </dataValidation>
    <dataValidation sqref="H5:H4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2026-09-20T21:27:19Z</dcterms:modified>
</cp:coreProperties>
</file>