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arâmetros" sheetId="2" state="visible" r:id="rId2"/>
    <sheet name="Cotação" sheetId="3" state="visible" r:id="rId3"/>
  </sheets>
  <definedNames>
    <definedName name="_xlnm._FilterDatabase" localSheetId="2" hidden="1">'Cotação'!$A$4:$P$36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;(R$ #,##0);-"/>
  </numFmts>
  <fonts count="11">
    <font>
      <name val="Calibri"/>
      <family val="2"/>
      <color theme="1"/>
      <sz val="11"/>
      <scheme val="minor"/>
    </font>
    <font>
      <name val="Arial"/>
      <b val="1"/>
      <color rgb="00DA8D00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i val="1"/>
      <color rgb="00666666"/>
      <sz val="10"/>
    </font>
    <font>
      <name val="Arial"/>
      <b val="1"/>
      <color rgb="00DA8D00"/>
      <sz val="11"/>
    </font>
    <font>
      <name val="Arial"/>
      <color rgb="00000000"/>
      <sz val="10"/>
    </font>
    <font>
      <name val="Arial"/>
      <i val="1"/>
      <color rgb="00666666"/>
      <sz val="9"/>
    </font>
    <font>
      <name val="Arial"/>
      <color rgb="00444444"/>
      <sz val="9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51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2C6"/>
      </left>
      <right style="thin">
        <color rgb="00D9D2C6"/>
      </right>
      <top style="thin">
        <color rgb="00D9D2C6"/>
      </top>
      <bottom style="thin">
        <color rgb="00D9D2C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0" fillId="2" borderId="1" pivotButton="0" quotePrefix="0" xfId="0"/>
    <xf numFmtId="0" fontId="0" fillId="2" borderId="1" pivotButton="0" quotePrefix="0" xfId="0"/>
    <xf numFmtId="164" fontId="6" fillId="2" borderId="1" pivotButton="0" quotePrefix="0" xfId="0"/>
    <xf numFmtId="0" fontId="7" fillId="0" borderId="0" pivotButton="0" quotePrefix="0" xfId="0"/>
    <xf numFmtId="164" fontId="0" fillId="0" borderId="0" pivotButton="0" quotePrefix="0" xfId="0"/>
    <xf numFmtId="0" fontId="8" fillId="0" borderId="0" pivotButton="0" quotePrefix="0" xfId="0"/>
    <xf numFmtId="0" fontId="2" fillId="2" borderId="0" pivotButton="0" quotePrefix="0" xfId="0"/>
    <xf numFmtId="4" fontId="4" fillId="3" borderId="1" pivotButton="0" quotePrefix="0" xfId="0"/>
    <xf numFmtId="0" fontId="5" fillId="0" borderId="1" pivotButton="0" quotePrefix="0" xfId="0"/>
    <xf numFmtId="0" fontId="4" fillId="3" borderId="1" pivotButton="0" quotePrefix="0" xfId="0"/>
    <xf numFmtId="9" fontId="4" fillId="3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4" fontId="4" fillId="3" borderId="1" applyAlignment="1" pivotButton="0" quotePrefix="0" xfId="0">
      <alignment vertical="top" wrapText="1"/>
    </xf>
    <xf numFmtId="4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164" fontId="3" fillId="0" borderId="0" pivotButton="0" quotePrefix="0" xfId="0"/>
    <xf numFmtId="0" fontId="0" fillId="2" borderId="0" pivotButton="0" quotePrefix="0" xfId="0"/>
    <xf numFmtId="0" fontId="10" fillId="2" borderId="0" pivotButton="0" quotePrefix="0" xfId="0"/>
    <xf numFmtId="164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LusaTravel</author>
  </authors>
  <commentList>
    <comment ref="I5" authorId="0" shapeId="0">
      <text>
        <t>Exemplo de preenchimento: Fornecedor = 'Air France via consolidador X', Moeda = BRL, Valor unitário = 9.850,00 (por pax), Qtd = 4. O total sai sozinho.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22" customWidth="1" min="5" max="5"/>
  </cols>
  <sheetData>
    <row r="1">
      <c r="A1" s="1" t="inlineStr">
        <is>
          <t>RESUMO · CRISTOFER · RÉVEILLON EUROPA CENTRAL</t>
        </is>
      </c>
    </row>
    <row r="2">
      <c r="A2" s="2" t="inlineStr">
        <is>
          <t>Família de 5 · 13 noites · 29/12/2026 a 12/01/2027 · Budapeste, Tokaj, Viena, Praga e Paris</t>
        </is>
      </c>
    </row>
    <row r="4">
      <c r="A4" s="3" t="inlineStr">
        <is>
          <t>Categoria</t>
        </is>
      </c>
      <c r="B4" s="3" t="inlineStr">
        <is>
          <t>Itens</t>
        </is>
      </c>
      <c r="C4" s="3" t="inlineStr">
        <is>
          <t>A cotar</t>
        </is>
      </c>
      <c r="D4" s="3" t="inlineStr">
        <is>
          <t>Cotados</t>
        </is>
      </c>
      <c r="E4" s="3" t="inlineStr">
        <is>
          <t>Total R$ (incluídos)</t>
        </is>
      </c>
    </row>
    <row r="5">
      <c r="A5" s="4" t="inlineStr">
        <is>
          <t>Aéreo</t>
        </is>
      </c>
      <c r="B5" s="5">
        <f>COUNTIF(Cotação!$B$5:$B$36,A5)</f>
        <v/>
      </c>
      <c r="C5" s="5">
        <f>COUNTIFS(Cotação!$B$5:$B$36,A5,Cotação!$O$5:$O$36,"A cotar")</f>
        <v/>
      </c>
      <c r="D5" s="5">
        <f>COUNTIFS(Cotação!$B$5:$B$36,A5,Cotação!$O$5:$O$36,"&lt;&gt;A cotar")</f>
        <v/>
      </c>
      <c r="E5" s="6">
        <f>SUMIF(Cotação!$B$5:$B$36,A5,Cotação!$N$5:$N$36)</f>
        <v/>
      </c>
    </row>
    <row r="6">
      <c r="A6" s="4" t="inlineStr">
        <is>
          <t>Hotel</t>
        </is>
      </c>
      <c r="B6" s="5">
        <f>COUNTIF(Cotação!$B$5:$B$36,A6)</f>
        <v/>
      </c>
      <c r="C6" s="5">
        <f>COUNTIFS(Cotação!$B$5:$B$36,A6,Cotação!$O$5:$O$36,"A cotar")</f>
        <v/>
      </c>
      <c r="D6" s="5">
        <f>COUNTIFS(Cotação!$B$5:$B$36,A6,Cotação!$O$5:$O$36,"&lt;&gt;A cotar")</f>
        <v/>
      </c>
      <c r="E6" s="6">
        <f>SUMIF(Cotação!$B$5:$B$36,A6,Cotação!$N$5:$N$36)</f>
        <v/>
      </c>
    </row>
    <row r="7">
      <c r="A7" s="4" t="inlineStr">
        <is>
          <t>Trem</t>
        </is>
      </c>
      <c r="B7" s="5">
        <f>COUNTIF(Cotação!$B$5:$B$36,A7)</f>
        <v/>
      </c>
      <c r="C7" s="5">
        <f>COUNTIFS(Cotação!$B$5:$B$36,A7,Cotação!$O$5:$O$36,"A cotar")</f>
        <v/>
      </c>
      <c r="D7" s="5">
        <f>COUNTIFS(Cotação!$B$5:$B$36,A7,Cotação!$O$5:$O$36,"&lt;&gt;A cotar")</f>
        <v/>
      </c>
      <c r="E7" s="6">
        <f>SUMIF(Cotação!$B$5:$B$36,A7,Cotação!$N$5:$N$36)</f>
        <v/>
      </c>
    </row>
    <row r="8">
      <c r="A8" s="4" t="inlineStr">
        <is>
          <t>Transfer</t>
        </is>
      </c>
      <c r="B8" s="5">
        <f>COUNTIF(Cotação!$B$5:$B$36,A8)</f>
        <v/>
      </c>
      <c r="C8" s="5">
        <f>COUNTIFS(Cotação!$B$5:$B$36,A8,Cotação!$O$5:$O$36,"A cotar")</f>
        <v/>
      </c>
      <c r="D8" s="5">
        <f>COUNTIFS(Cotação!$B$5:$B$36,A8,Cotação!$O$5:$O$36,"&lt;&gt;A cotar")</f>
        <v/>
      </c>
      <c r="E8" s="6">
        <f>SUMIF(Cotação!$B$5:$B$36,A8,Cotação!$N$5:$N$36)</f>
        <v/>
      </c>
    </row>
    <row r="9">
      <c r="A9" s="4" t="inlineStr">
        <is>
          <t>Experiência</t>
        </is>
      </c>
      <c r="B9" s="5">
        <f>COUNTIF(Cotação!$B$5:$B$36,A9)</f>
        <v/>
      </c>
      <c r="C9" s="5">
        <f>COUNTIFS(Cotação!$B$5:$B$36,A9,Cotação!$O$5:$O$36,"A cotar")</f>
        <v/>
      </c>
      <c r="D9" s="5">
        <f>COUNTIFS(Cotação!$B$5:$B$36,A9,Cotação!$O$5:$O$36,"&lt;&gt;A cotar")</f>
        <v/>
      </c>
      <c r="E9" s="6">
        <f>SUMIF(Cotação!$B$5:$B$36,A9,Cotação!$N$5:$N$36)</f>
        <v/>
      </c>
    </row>
    <row r="10">
      <c r="A10" s="4" t="inlineStr">
        <is>
          <t>Seguro/Docs</t>
        </is>
      </c>
      <c r="B10" s="5">
        <f>COUNTIF(Cotação!$B$5:$B$36,A10)</f>
        <v/>
      </c>
      <c r="C10" s="5">
        <f>COUNTIFS(Cotação!$B$5:$B$36,A10,Cotação!$O$5:$O$36,"A cotar")</f>
        <v/>
      </c>
      <c r="D10" s="5">
        <f>COUNTIFS(Cotação!$B$5:$B$36,A10,Cotação!$O$5:$O$36,"&lt;&gt;A cotar")</f>
        <v/>
      </c>
      <c r="E10" s="6">
        <f>SUMIF(Cotação!$B$5:$B$36,A10,Cotação!$N$5:$N$36)</f>
        <v/>
      </c>
    </row>
    <row r="11">
      <c r="A11" s="4" t="inlineStr">
        <is>
          <t>Outros</t>
        </is>
      </c>
      <c r="B11" s="5">
        <f>COUNTIF(Cotação!$B$5:$B$36,A11)</f>
        <v/>
      </c>
      <c r="C11" s="5">
        <f>COUNTIFS(Cotação!$B$5:$B$36,A11,Cotação!$O$5:$O$36,"A cotar")</f>
        <v/>
      </c>
      <c r="D11" s="5">
        <f>COUNTIFS(Cotação!$B$5:$B$36,A11,Cotação!$O$5:$O$36,"&lt;&gt;A cotar")</f>
        <v/>
      </c>
      <c r="E11" s="6">
        <f>SUMIF(Cotação!$B$5:$B$36,A11,Cotação!$N$5:$N$36)</f>
        <v/>
      </c>
    </row>
    <row r="12">
      <c r="A12" s="4" t="inlineStr">
        <is>
          <t>Subtotal</t>
        </is>
      </c>
      <c r="B12" s="7">
        <f>SUM(B5:B11)</f>
        <v/>
      </c>
      <c r="C12" s="7">
        <f>SUM(C5:C11)</f>
        <v/>
      </c>
      <c r="D12" s="7">
        <f>SUM(D5:D11)</f>
        <v/>
      </c>
      <c r="E12" s="8">
        <f>SUM(E5:E11)</f>
        <v/>
      </c>
    </row>
    <row r="13">
      <c r="A13" s="7" t="inlineStr">
        <is>
          <t>Taxa de serviço LusaTravel</t>
        </is>
      </c>
      <c r="B13" s="7" t="n"/>
      <c r="C13" s="7" t="n"/>
      <c r="D13" s="7" t="n"/>
      <c r="E13" s="8">
        <f>E12*Parâmetros!$B$10</f>
        <v/>
      </c>
    </row>
    <row r="14">
      <c r="A14" s="9" t="inlineStr">
        <is>
          <t>TOTAL PARA O CLIENTE</t>
        </is>
      </c>
      <c r="B14" s="10" t="n"/>
      <c r="C14" s="10" t="n"/>
      <c r="D14" s="10" t="n"/>
      <c r="E14" s="11">
        <f>E12+E13</f>
        <v/>
      </c>
    </row>
    <row r="15">
      <c r="A15" s="12" t="inlineStr">
        <is>
          <t>Por pessoa (5 pax)</t>
        </is>
      </c>
      <c r="E15" s="13">
        <f>IF(Parâmetros!$B$8=0,0,E14/Parâmetros!$B$8)</f>
        <v/>
      </c>
    </row>
    <row r="17">
      <c r="A17" s="12" t="inlineStr">
        <is>
          <t>Câmbio usado</t>
        </is>
      </c>
      <c r="B17">
        <f>"EUR = "&amp;Parâmetros!B4&amp;" · "&amp;Parâmetros!B6</f>
        <v/>
      </c>
    </row>
    <row r="18">
      <c r="A18" s="2" t="inlineStr">
        <is>
          <t>*Nada reservado, apenas cotado.</t>
        </is>
      </c>
    </row>
    <row r="20">
      <c r="A20" s="14" t="inlineStr">
        <is>
          <t>Estimativa preliminar da página do roteiro (20/09): R$ 140.000 a 200.000. Use esta linha só como sanidade até a planilha estar cotada.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80" customWidth="1" min="3" max="3"/>
  </cols>
  <sheetData>
    <row r="1">
      <c r="A1" s="1" t="inlineStr">
        <is>
          <t>PARÂMETROS DA COTAÇÃO · CRISTOFER · RÉVEILLON EUROPA CENTRAL</t>
        </is>
      </c>
    </row>
    <row r="3">
      <c r="A3" s="15" t="inlineStr">
        <is>
          <t>Parâmetro</t>
        </is>
      </c>
      <c r="B3" s="15" t="inlineStr">
        <is>
          <t>Valor</t>
        </is>
      </c>
      <c r="C3" s="15" t="inlineStr">
        <is>
          <t>Fonte / observação</t>
        </is>
      </c>
    </row>
    <row r="4">
      <c r="A4" s="4" t="inlineStr">
        <is>
          <t>Câmbio EUR → R$</t>
        </is>
      </c>
      <c r="B4" s="16" t="n">
        <v>6.1</v>
      </c>
      <c r="C4" s="17" t="inlineStr">
        <is>
          <t>Cotação informada pela LusaTravel em 21/09/2026.</t>
        </is>
      </c>
    </row>
    <row r="5">
      <c r="A5" s="4" t="inlineStr">
        <is>
          <t>Câmbio USD → R$</t>
        </is>
      </c>
      <c r="B5" s="16" t="n">
        <v>5.3</v>
      </c>
      <c r="C5" s="17" t="inlineStr">
        <is>
          <t>Estimativa. Preencher com a cotação do dia se algum item for cotado em dólar.</t>
        </is>
      </c>
    </row>
    <row r="6">
      <c r="A6" s="4" t="inlineStr">
        <is>
          <t>Data do câmbio</t>
        </is>
      </c>
      <c r="B6" s="18" t="inlineStr">
        <is>
          <t>21/09/2026</t>
        </is>
      </c>
      <c r="C6" s="17" t="inlineStr">
        <is>
          <t>Texto. Aparece na proposta como 'Cotação DD/MM · Euro = X,XX'.</t>
        </is>
      </c>
    </row>
    <row r="7">
      <c r="A7" s="4" t="inlineStr">
        <is>
          <t>Passageiros ida (29/12)</t>
        </is>
      </c>
      <c r="B7" s="18" t="n">
        <v>4</v>
      </c>
      <c r="C7" s="17" t="inlineStr">
        <is>
          <t>Cristofer, esposa, filhas de 13 e 16 anos</t>
        </is>
      </c>
    </row>
    <row r="8">
      <c r="A8" s="4" t="inlineStr">
        <is>
          <t>Passageiros a partir de 05/01</t>
        </is>
      </c>
      <c r="B8" s="18" t="n">
        <v>5</v>
      </c>
      <c r="C8" s="17" t="inlineStr">
        <is>
          <t>Filho de 17 anos chega em Viena</t>
        </is>
      </c>
    </row>
    <row r="9">
      <c r="A9" s="4" t="inlineStr">
        <is>
          <t>Noites totais</t>
        </is>
      </c>
      <c r="B9" s="18" t="n">
        <v>13</v>
      </c>
      <c r="C9" s="17" t="inlineStr">
        <is>
          <t>30/12 a 12/01</t>
        </is>
      </c>
    </row>
    <row r="10">
      <c r="A10" s="4" t="inlineStr">
        <is>
          <t>Taxa de serviço LusaTravel (%)</t>
        </is>
      </c>
      <c r="B10" s="19" t="n">
        <v>0</v>
      </c>
      <c r="C10" s="17" t="inlineStr">
        <is>
          <t>Zero: a margem já está embutida nos valores dos fornecedores.</t>
        </is>
      </c>
    </row>
    <row r="13">
      <c r="A13" s="20" t="inlineStr">
        <is>
          <t>LEGENDA</t>
        </is>
      </c>
    </row>
    <row r="14">
      <c r="A14" s="21" t="inlineStr">
        <is>
          <t>Célula amarela / texto azul</t>
        </is>
      </c>
      <c r="B14" s="12" t="inlineStr">
        <is>
          <t>Você preenche (fornecedor, moeda, valor, quantidade, status).</t>
        </is>
      </c>
    </row>
    <row r="15">
      <c r="A15" s="21" t="inlineStr">
        <is>
          <t>Texto preto</t>
        </is>
      </c>
      <c r="B15" s="12" t="inlineStr">
        <is>
          <t>Fórmula. Não editar.</t>
        </is>
      </c>
    </row>
    <row r="16">
      <c r="A16" s="21" t="inlineStr">
        <is>
          <t>Coluna 'Incluir?'</t>
        </is>
      </c>
      <c r="B16" s="12" t="inlineStr">
        <is>
          <t>Sim = entra no total. Use para escolher entre a Opção 1 e a Opção 2 de hotel; só uma por cidade deve estar em Sim.</t>
        </is>
      </c>
    </row>
    <row r="17">
      <c r="A17" s="21" t="inlineStr">
        <is>
          <t>Coluna 'Referência pública'</t>
        </is>
      </c>
      <c r="B17" s="12" t="inlineStr">
        <is>
          <t>Preço visto em Booking.com em 20/09/2026, para comparar com o valor do fornecedor. Não entra no total.</t>
        </is>
      </c>
    </row>
    <row r="18">
      <c r="A18" s="21" t="inlineStr">
        <is>
          <t>Status</t>
        </is>
      </c>
      <c r="B18" s="12" t="inlineStr">
        <is>
          <t>A cotar → Cotado → Aprovado pelo cliente → Reservado. Filtre a coluna para ver o que falta.</t>
        </is>
      </c>
    </row>
  </sheetData>
  <mergeCells count="5">
    <mergeCell ref="B16:C16"/>
    <mergeCell ref="B15:C15"/>
    <mergeCell ref="B14:C14"/>
    <mergeCell ref="B17:C17"/>
    <mergeCell ref="B18:C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52" customWidth="1" min="4" max="4"/>
    <col width="16" customWidth="1" min="5" max="5"/>
    <col width="6" customWidth="1" min="6" max="6"/>
    <col width="22" customWidth="1" min="7" max="7"/>
    <col width="8" customWidth="1" min="8" max="8"/>
    <col width="14" customWidth="1" min="9" max="9"/>
    <col width="6" customWidth="1" min="10" max="10"/>
    <col width="14" customWidth="1" min="11" max="11"/>
    <col width="40" customWidth="1" min="12" max="12"/>
    <col width="9" customWidth="1" min="13" max="13"/>
    <col width="14" customWidth="1" min="14" max="14"/>
    <col width="20" customWidth="1" min="15" max="15"/>
    <col width="50" customWidth="1" min="16" max="16"/>
  </cols>
  <sheetData>
    <row r="1">
      <c r="A1" s="1" t="inlineStr">
        <is>
          <t>COTAÇÃO · CRISTOFER · RÉVEILLON EUROPA CENTRAL · 29/12/2026 a 12/01/2027</t>
        </is>
      </c>
    </row>
    <row r="2">
      <c r="A2" s="2" t="inlineStr">
        <is>
          <t>Preencha as células amarelas. Totais e conversão para R$ são fórmulas ligadas à aba Parâmetros.</t>
        </is>
      </c>
    </row>
    <row r="4" ht="32" customHeight="1">
      <c r="A4" s="22" t="inlineStr">
        <is>
          <t>#</t>
        </is>
      </c>
      <c r="B4" s="22" t="inlineStr">
        <is>
          <t>Categoria</t>
        </is>
      </c>
      <c r="C4" s="22" t="inlineStr">
        <is>
          <t>Item</t>
        </is>
      </c>
      <c r="D4" s="22" t="inlineStr">
        <is>
          <t>Detalhe</t>
        </is>
      </c>
      <c r="E4" s="22" t="inlineStr">
        <is>
          <t>Data(s)</t>
        </is>
      </c>
      <c r="F4" s="22" t="inlineStr">
        <is>
          <t>Pax</t>
        </is>
      </c>
      <c r="G4" s="22" t="inlineStr">
        <is>
          <t>Fornecedor</t>
        </is>
      </c>
      <c r="H4" s="22" t="inlineStr">
        <is>
          <t>Moeda</t>
        </is>
      </c>
      <c r="I4" s="22" t="inlineStr">
        <is>
          <t>Valor unitário</t>
        </is>
      </c>
      <c r="J4" s="22" t="inlineStr">
        <is>
          <t>Qtd</t>
        </is>
      </c>
      <c r="K4" s="22" t="inlineStr">
        <is>
          <t>Total (moeda)</t>
        </is>
      </c>
      <c r="L4" s="22" t="inlineStr">
        <is>
          <t>Referência pública (Booking 20/09)</t>
        </is>
      </c>
      <c r="M4" s="22" t="inlineStr">
        <is>
          <t>Incluir?</t>
        </is>
      </c>
      <c r="N4" s="22" t="inlineStr">
        <is>
          <t>Total R$</t>
        </is>
      </c>
      <c r="O4" s="22" t="inlineStr">
        <is>
          <t>Status</t>
        </is>
      </c>
      <c r="P4" s="22" t="inlineStr">
        <is>
          <t>Observações</t>
        </is>
      </c>
    </row>
    <row r="5">
      <c r="A5" s="23" t="n">
        <v>1</v>
      </c>
      <c r="B5" s="23" t="inlineStr">
        <is>
          <t>Aéreo</t>
        </is>
      </c>
      <c r="C5" s="24" t="inlineStr">
        <is>
          <t>Aéreo internacional · 4 pax</t>
        </is>
      </c>
      <c r="D5" s="23" t="inlineStr">
        <is>
          <t>LA1579 GRU 29/12 15:10 → MAD 30/12 05:30 · IB869 MAD 07:20 → BUD 10:30 (conexão 1h50) · AF1183 PRG 10/01 09:50 → CDG 11:50 · LA8133 CDG 12/01 12:05 → GRU 20:00 · econômica · 1 mala 23 kg</t>
        </is>
      </c>
      <c r="E5" s="23" t="inlineStr">
        <is>
          <t>29/12 e 12/01</t>
        </is>
      </c>
      <c r="F5" s="23" t="n">
        <v>4</v>
      </c>
      <c r="G5" s="25" t="inlineStr">
        <is>
          <t>LATAM + Iberia + Air France (consolidador)</t>
        </is>
      </c>
      <c r="H5" s="25" t="inlineStr">
        <is>
          <t>BRL</t>
        </is>
      </c>
      <c r="I5" s="26" t="n">
        <v>10409.39</v>
      </c>
      <c r="J5" s="25" t="n">
        <v>4</v>
      </c>
      <c r="K5" s="27">
        <f>IF(I5="","",I5*J5)</f>
        <v/>
      </c>
      <c r="L5" s="28" t="inlineStr"/>
      <c r="M5" s="25" t="inlineStr">
        <is>
          <t>Sim</t>
        </is>
      </c>
      <c r="N5" s="29">
        <f>IF(OR(M5&lt;&gt;"Sim",I5=""),0,K5*IF(H5="BRL",1,IF(H5="EUR",Parâmetros!$B$4,IF(H5="USD",Parâmetros!$B$5,1))))</f>
        <v/>
      </c>
      <c r="O5" s="25" t="inlineStr">
        <is>
          <t>Cotado</t>
        </is>
      </c>
      <c r="P5" s="30" t="inlineStr">
        <is>
          <t>Cotação de 20/09: R$ 41.637,56 total (USD 8.073,20) = R$ 10.409,39 por pax. Inclui Praga → Paris.</t>
        </is>
      </c>
    </row>
    <row r="6">
      <c r="A6" s="23" t="n">
        <v>2</v>
      </c>
      <c r="B6" s="23" t="inlineStr">
        <is>
          <t>Aéreo</t>
        </is>
      </c>
      <c r="C6" s="24" t="inlineStr">
        <is>
          <t>Aéreo do filho · 1 pax</t>
        </is>
      </c>
      <c r="D6" s="23" t="inlineStr">
        <is>
          <t>AF453 GRU 04/01 14:40 → CDG 05/01 06:05 · AF1138 CDG 10:00 → VIE 12:00 (conexão 3h55) · AF1383 PRG 10/01 12:10 → CDG 14:05 · AF454 CDG 12/01 23:20 → GRU 13/01 07:20 · econômica</t>
        </is>
      </c>
      <c r="E6" s="23" t="inlineStr">
        <is>
          <t>04/01 e 12/01</t>
        </is>
      </c>
      <c r="F6" s="23" t="n">
        <v>1</v>
      </c>
      <c r="G6" s="25" t="inlineStr">
        <is>
          <t>Air France (consolidador)</t>
        </is>
      </c>
      <c r="H6" s="25" t="inlineStr">
        <is>
          <t>BRL</t>
        </is>
      </c>
      <c r="I6" s="26" t="n">
        <v>12056.63</v>
      </c>
      <c r="J6" s="25" t="n">
        <v>1</v>
      </c>
      <c r="K6" s="27">
        <f>IF(I6="","",I6*J6)</f>
        <v/>
      </c>
      <c r="L6" s="28" t="inlineStr"/>
      <c r="M6" s="25" t="inlineStr">
        <is>
          <t>Sim</t>
        </is>
      </c>
      <c r="N6" s="29">
        <f>IF(OR(M6&lt;&gt;"Sim",I6=""),0,K6*IF(H6="BRL",1,IF(H6="EUR",Parâmetros!$B$4,IF(H6="USD",Parâmetros!$B$5,1))))</f>
        <v/>
      </c>
      <c r="O6" s="25" t="inlineStr">
        <is>
          <t>Cotado</t>
        </is>
      </c>
      <c r="P6" s="30" t="inlineStr">
        <is>
          <t>Recotação de 20/09: R$ 12.056,63 (USD 2.337,69).</t>
        </is>
      </c>
    </row>
    <row r="7">
      <c r="A7" s="23" t="n">
        <v>3</v>
      </c>
      <c r="B7" s="23" t="inlineStr">
        <is>
          <t>Aéreo</t>
        </is>
      </c>
      <c r="C7" s="24" t="inlineStr">
        <is>
          <t>Voo Praga → Paris · filho · 1 pax</t>
        </is>
      </c>
      <c r="D7" s="23" t="inlineStr">
        <is>
          <t>PRG → CDG 10/01 · os 4 já estão no bilhete internacional (AF1183) · ideal: mesmo voo AF1183 09:50</t>
        </is>
      </c>
      <c r="E7" s="23" t="inlineStr">
        <is>
          <t>10/01</t>
        </is>
      </c>
      <c r="F7" s="23" t="n">
        <v>1</v>
      </c>
      <c r="G7" s="25" t="inlineStr"/>
      <c r="H7" s="25" t="inlineStr">
        <is>
          <t>EUR</t>
        </is>
      </c>
      <c r="I7" s="26" t="n"/>
      <c r="J7" s="25" t="n">
        <v>1</v>
      </c>
      <c r="K7" s="27">
        <f>IF(I7="","",I7*J7)</f>
        <v/>
      </c>
      <c r="L7" s="28" t="inlineStr"/>
      <c r="M7" s="25" t="inlineStr">
        <is>
          <t>Não</t>
        </is>
      </c>
      <c r="N7" s="29">
        <f>IF(OR(M7&lt;&gt;"Sim",I7=""),0,K7*IF(H7="BRL",1,IF(H7="EUR",Parâmetros!$B$4,IF(H7="USD",Parâmetros!$B$5,1))))</f>
        <v/>
      </c>
      <c r="O7" s="25" t="inlineStr">
        <is>
          <t>Descartado</t>
        </is>
      </c>
      <c r="P7" s="30" t="inlineStr">
        <is>
          <t>Incluído no multitrecho do filho (AF1383). Não cotar à parte.</t>
        </is>
      </c>
    </row>
    <row r="8">
      <c r="A8" s="23" t="n">
        <v>4</v>
      </c>
      <c r="B8" s="23" t="inlineStr">
        <is>
          <t>Aéreo</t>
        </is>
      </c>
      <c r="C8" s="24" t="inlineStr">
        <is>
          <t>Opcional · upgrade de cabine</t>
        </is>
      </c>
      <c r="D8" s="23" t="inlineStr">
        <is>
          <t>Diferença para Premium Economy ou Executiva no trecho internacional · 5 pax</t>
        </is>
      </c>
      <c r="E8" s="23" t="inlineStr">
        <is>
          <t>29/12, 04/01 e 12/01</t>
        </is>
      </c>
      <c r="F8" s="23" t="n">
        <v>5</v>
      </c>
      <c r="G8" s="25" t="inlineStr"/>
      <c r="H8" s="25" t="inlineStr">
        <is>
          <t>BRL</t>
        </is>
      </c>
      <c r="I8" s="26" t="n"/>
      <c r="J8" s="25" t="n">
        <v>5</v>
      </c>
      <c r="K8" s="27">
        <f>IF(I8="","",I8*J8)</f>
        <v/>
      </c>
      <c r="L8" s="28" t="inlineStr"/>
      <c r="M8" s="25" t="inlineStr">
        <is>
          <t>Não</t>
        </is>
      </c>
      <c r="N8" s="29">
        <f>IF(OR(M8&lt;&gt;"Sim",I8=""),0,K8*IF(H8="BRL",1,IF(H8="EUR",Parâmetros!$B$4,IF(H8="USD",Parâmetros!$B$5,1))))</f>
        <v/>
      </c>
      <c r="O8" s="25" t="inlineStr">
        <is>
          <t>A cotar</t>
        </is>
      </c>
      <c r="P8" s="30" t="inlineStr">
        <is>
          <t>Só entra no total se o cliente pedir.</t>
        </is>
      </c>
    </row>
    <row r="9">
      <c r="A9" s="23" t="n">
        <v>5</v>
      </c>
      <c r="B9" s="23" t="inlineStr">
        <is>
          <t>Hotel</t>
        </is>
      </c>
      <c r="C9" s="24" t="inlineStr">
        <is>
          <t>Budapeste · Opção 1 · Barceló Budapest 4★</t>
        </is>
      </c>
      <c r="D9" s="23" t="inlineStr">
        <is>
          <t>Király utca, Terézváros, a 5 min da Basílica · 2 quartos Superior Double · café da manhã · 4 noites</t>
        </is>
      </c>
      <c r="E9" s="23" t="inlineStr">
        <is>
          <t>30/12 → 03/01</t>
        </is>
      </c>
      <c r="F9" s="23" t="n">
        <v>4</v>
      </c>
      <c r="G9" s="25" t="inlineStr">
        <is>
          <t>Consolidador (a nomear)</t>
        </is>
      </c>
      <c r="H9" s="25" t="inlineStr">
        <is>
          <t>BRL</t>
        </is>
      </c>
      <c r="I9" s="26" t="n">
        <v>8400</v>
      </c>
      <c r="J9" s="25" t="n">
        <v>2</v>
      </c>
      <c r="K9" s="27">
        <f>IF(I9="","",I9*J9)</f>
        <v/>
      </c>
      <c r="L9" s="28" t="inlineStr">
        <is>
          <t>Booking 20/09: R$ 15.136 pelas 2 quartos/4 noites no mesmo hotel · InterContinental 5★ € 2.398 · Corinthia 5★ € 2.939</t>
        </is>
      </c>
      <c r="M9" s="25" t="inlineStr">
        <is>
          <t>Não</t>
        </is>
      </c>
      <c r="N9" s="29">
        <f>IF(OR(M9&lt;&gt;"Sim",I9=""),0,K9*IF(H9="BRL",1,IF(H9="EUR",Parâmetros!$B$4,IF(H9="USD",Parâmetros!$B$5,1))))</f>
        <v/>
      </c>
      <c r="O9" s="25" t="inlineStr">
        <is>
          <t>Cotado</t>
        </is>
      </c>
      <c r="P9" s="30" t="inlineStr">
        <is>
          <t>Cotação de 21/09: R$ 16.800 pelos 2 quartos. 4 noites.</t>
        </is>
      </c>
    </row>
    <row r="10">
      <c r="A10" s="23" t="n">
        <v>6</v>
      </c>
      <c r="B10" s="23" t="inlineStr">
        <is>
          <t>Hotel</t>
        </is>
      </c>
      <c r="C10" s="24" t="inlineStr">
        <is>
          <t>Budapeste · Opção 2 · Mercure Budapest City Center 4★</t>
        </is>
      </c>
      <c r="D10" s="23" t="inlineStr">
        <is>
          <t>Váci utca, coração de Pest, pedestre · 2 quartos Superior · café da manhã · 4 noites</t>
        </is>
      </c>
      <c r="E10" s="23" t="inlineStr">
        <is>
          <t>30/12 → 03/01</t>
        </is>
      </c>
      <c r="F10" s="23" t="n">
        <v>4</v>
      </c>
      <c r="G10" s="25" t="inlineStr">
        <is>
          <t>Consolidador (a nomear)</t>
        </is>
      </c>
      <c r="H10" s="25" t="inlineStr">
        <is>
          <t>BRL</t>
        </is>
      </c>
      <c r="I10" s="26" t="n">
        <v>6700</v>
      </c>
      <c r="J10" s="25" t="n">
        <v>2</v>
      </c>
      <c r="K10" s="27">
        <f>IF(I10="","",I10*J10)</f>
        <v/>
      </c>
      <c r="L10" s="28" t="inlineStr">
        <is>
          <t>Booking 20/09: R$ 11.016 pelos 2 quartos/4 noites no mesmo hotel</t>
        </is>
      </c>
      <c r="M10" s="25" t="inlineStr">
        <is>
          <t>Não</t>
        </is>
      </c>
      <c r="N10" s="29">
        <f>IF(OR(M10&lt;&gt;"Sim",I10=""),0,K10*IF(H10="BRL",1,IF(H10="EUR",Parâmetros!$B$4,IF(H10="USD",Parâmetros!$B$5,1))))</f>
        <v/>
      </c>
      <c r="O10" s="25" t="inlineStr">
        <is>
          <t>Cotado</t>
        </is>
      </c>
      <c r="P10" s="30" t="inlineStr">
        <is>
          <t>Cotação de 21/09: R$ 13.400 pelos 2 quartos. 4 noites.</t>
        </is>
      </c>
    </row>
    <row r="11">
      <c r="A11" s="23" t="n">
        <v>7</v>
      </c>
      <c r="B11" s="23" t="inlineStr">
        <is>
          <t>Hotel</t>
        </is>
      </c>
      <c r="C11" s="24" t="inlineStr">
        <is>
          <t>Budapeste · Opção 3 · InterContinental Budapest 5★</t>
        </is>
      </c>
      <c r="D11" s="23" t="inlineStr">
        <is>
          <t>Margem do Danúbio, vista para o Castelo e a Ponte das Correntes · 2 quartos Classic · café da manhã · 4 noites</t>
        </is>
      </c>
      <c r="E11" s="23" t="inlineStr">
        <is>
          <t>30/12 → 03/01</t>
        </is>
      </c>
      <c r="F11" s="23" t="n">
        <v>4</v>
      </c>
      <c r="G11" s="25" t="inlineStr">
        <is>
          <t>Consolidador (a nomear)</t>
        </is>
      </c>
      <c r="H11" s="25" t="inlineStr">
        <is>
          <t>BRL</t>
        </is>
      </c>
      <c r="I11" s="26" t="n">
        <v>8690</v>
      </c>
      <c r="J11" s="25" t="n">
        <v>2</v>
      </c>
      <c r="K11" s="27">
        <f>IF(I11="","",I11*J11)</f>
        <v/>
      </c>
      <c r="L11" s="28" t="inlineStr">
        <is>
          <t>Booking 20/09: € 2.398 (≈ R$ 14.172) pelos 2 quartos/4 noites no mesmo hotel, tarifa mais barata</t>
        </is>
      </c>
      <c r="M11" s="25" t="inlineStr">
        <is>
          <t>Sim</t>
        </is>
      </c>
      <c r="N11" s="29">
        <f>IF(OR(M11&lt;&gt;"Sim",I11=""),0,K11*IF(H11="BRL",1,IF(H11="EUR",Parâmetros!$B$4,IF(H11="USD",Parâmetros!$B$5,1))))</f>
        <v/>
      </c>
      <c r="O11" s="25" t="inlineStr">
        <is>
          <t>Cotado</t>
        </is>
      </c>
      <c r="P11" s="30" t="inlineStr">
        <is>
          <t>Cotação de 21/09: R$ 17.380 pelos 2 quartos. 4 noites. Escolhido para o total: único 5★ das três, à beira do rio.</t>
        </is>
      </c>
    </row>
    <row r="12">
      <c r="A12" s="23" t="n">
        <v>8</v>
      </c>
      <c r="B12" s="23" t="inlineStr">
        <is>
          <t>Hotel</t>
        </is>
      </c>
      <c r="C12" s="24" t="inlineStr">
        <is>
          <t>Viena · Opção 1 · Steigenberger Icon Herrenhof 5★</t>
        </is>
      </c>
      <c r="D12" s="23" t="inlineStr">
        <is>
          <t>Herrengasse, Innere Stadt, a 5 min do Hofburg · 1 Junior Suite + 1 Superior Room · café da manhã · 4 noites</t>
        </is>
      </c>
      <c r="E12" s="23" t="inlineStr">
        <is>
          <t>03/01 → 07/01</t>
        </is>
      </c>
      <c r="F12" s="23" t="n">
        <v>4</v>
      </c>
      <c r="G12" s="25" t="inlineStr">
        <is>
          <t>Consolidador (a nomear)</t>
        </is>
      </c>
      <c r="H12" s="25" t="inlineStr">
        <is>
          <t>BRL</t>
        </is>
      </c>
      <c r="I12" s="26" t="n">
        <v>5910</v>
      </c>
      <c r="J12" s="25" t="n">
        <v>4</v>
      </c>
      <c r="K12" s="27">
        <f>IF(I12="","",I12*J12)</f>
        <v/>
      </c>
      <c r="L12" s="28" t="inlineStr">
        <is>
          <t>Booking 20/09: € 1.862 (≈ R$ 11.004) por 2 quartos standard/4 noites no mesmo hotel</t>
        </is>
      </c>
      <c r="M12" s="25" t="inlineStr">
        <is>
          <t>Sim</t>
        </is>
      </c>
      <c r="N12" s="29">
        <f>IF(OR(M12&lt;&gt;"Sim",I12=""),0,K12*IF(H12="BRL",1,IF(H12="EUR",Parâmetros!$B$4,IF(H12="USD",Parâmetros!$B$5,1))))</f>
        <v/>
      </c>
      <c r="O12" s="25" t="inlineStr">
        <is>
          <t>Cotado</t>
        </is>
      </c>
      <c r="P12" s="30" t="inlineStr">
        <is>
          <t>Cotação de 21/09: Junior Suite R$ 15.300 + Superior Room R$ 8.340 = R$ 23.640 pelas 4 noites (R$ 5.910/noite). Junior Suite comporta 3: pais + filho a partir de 05/01, filhas no Superior. Sem cama extra.</t>
        </is>
      </c>
    </row>
    <row r="13">
      <c r="A13" s="23" t="n">
        <v>9</v>
      </c>
      <c r="B13" s="23" t="inlineStr">
        <is>
          <t>Hotel</t>
        </is>
      </c>
      <c r="C13" s="24" t="inlineStr">
        <is>
          <t>Viena · Opção 2 · Radisson Blu Style Hotel 5★</t>
        </is>
      </c>
      <c r="D13" s="23" t="inlineStr">
        <is>
          <t>Herrengasse 12, Innere Stadt, design, a 3 min do Hofburg · 1 Junior Suite + 1 Superior Room · café da manhã · 4 noites</t>
        </is>
      </c>
      <c r="E13" s="23" t="inlineStr">
        <is>
          <t>03/01 → 07/01</t>
        </is>
      </c>
      <c r="F13" s="23" t="n">
        <v>4</v>
      </c>
      <c r="G13" s="25" t="inlineStr">
        <is>
          <t>Consolidador (a nomear)</t>
        </is>
      </c>
      <c r="H13" s="25" t="inlineStr">
        <is>
          <t>BRL</t>
        </is>
      </c>
      <c r="I13" s="26" t="n">
        <v>4768</v>
      </c>
      <c r="J13" s="25" t="n">
        <v>4</v>
      </c>
      <c r="K13" s="27">
        <f>IF(I13="","",I13*J13)</f>
        <v/>
      </c>
      <c r="L13" s="28" t="inlineStr">
        <is>
          <t>Booking 20/09: R$ 12.034 por 2 quartos standard/4 noites no mesmo hotel</t>
        </is>
      </c>
      <c r="M13" s="25" t="inlineStr">
        <is>
          <t>Não</t>
        </is>
      </c>
      <c r="N13" s="29">
        <f>IF(OR(M13&lt;&gt;"Sim",I13=""),0,K13*IF(H13="BRL",1,IF(H13="EUR",Parâmetros!$B$4,IF(H13="USD",Parâmetros!$B$5,1))))</f>
        <v/>
      </c>
      <c r="O13" s="25" t="inlineStr">
        <is>
          <t>Cotado</t>
        </is>
      </c>
      <c r="P13" s="30" t="inlineStr">
        <is>
          <t>Cotação de 21/09: Junior Suite R$ 11.042 + Superior Room R$ 8.030 = R$ 19.072 pelas 4 noites (R$ 4.768/noite). Junior Suite comporta 3. R$ 4.568 mais barato que o Herrenhof, na mesma rua.</t>
        </is>
      </c>
    </row>
    <row r="14">
      <c r="A14" s="23" t="n">
        <v>10</v>
      </c>
      <c r="B14" s="23" t="inlineStr">
        <is>
          <t>Hotel</t>
        </is>
      </c>
      <c r="C14" s="24" t="inlineStr">
        <is>
          <t>Viena · cama extra ou 3º quarto para o filho</t>
        </is>
      </c>
      <c r="D14" s="23" t="inlineStr">
        <is>
          <t>2 noites, a partir da chegada em 05/01, no hotel escolhido</t>
        </is>
      </c>
      <c r="E14" s="23" t="inlineStr">
        <is>
          <t>05/01 → 07/01</t>
        </is>
      </c>
      <c r="F14" s="23" t="n">
        <v>1</v>
      </c>
      <c r="G14" s="25" t="inlineStr"/>
      <c r="H14" s="25" t="inlineStr">
        <is>
          <t>EUR</t>
        </is>
      </c>
      <c r="I14" s="26" t="n"/>
      <c r="J14" s="25" t="n">
        <v>2</v>
      </c>
      <c r="K14" s="27">
        <f>IF(I14="","",I14*J14)</f>
        <v/>
      </c>
      <c r="L14" s="28" t="inlineStr"/>
      <c r="M14" s="25" t="inlineStr">
        <is>
          <t>Não</t>
        </is>
      </c>
      <c r="N14" s="29">
        <f>IF(OR(M14&lt;&gt;"Sim",I14=""),0,K14*IF(H14="BRL",1,IF(H14="EUR",Parâmetros!$B$4,IF(H14="USD",Parâmetros!$B$5,1))))</f>
        <v/>
      </c>
      <c r="O14" s="25" t="inlineStr">
        <is>
          <t>Descartado</t>
        </is>
      </c>
      <c r="P14" s="30" t="inlineStr">
        <is>
          <t>Desnecessária: a Junior Suite das duas opções comporta o filho.</t>
        </is>
      </c>
    </row>
    <row r="15">
      <c r="A15" s="23" t="n">
        <v>11</v>
      </c>
      <c r="B15" s="23" t="inlineStr">
        <is>
          <t>Hotel</t>
        </is>
      </c>
      <c r="C15" s="24" t="inlineStr">
        <is>
          <t>Praga · Opção 1 · The Emblem Prague Hotel 5★</t>
        </is>
      </c>
      <c r="D15" s="23" t="inlineStr">
        <is>
          <t>Platnéřská, Cidade Velha, a 2 min da Praça da Cidade Velha, spa na cobertura · 1 Suite Pretender + 1 Queen Room · café da manhã · 3 noites</t>
        </is>
      </c>
      <c r="E15" s="23" t="inlineStr">
        <is>
          <t>07/01 → 10/01</t>
        </is>
      </c>
      <c r="F15" s="23" t="n">
        <v>5</v>
      </c>
      <c r="G15" s="25" t="inlineStr">
        <is>
          <t>Consolidador (a nomear)</t>
        </is>
      </c>
      <c r="H15" s="25" t="inlineStr">
        <is>
          <t>BRL</t>
        </is>
      </c>
      <c r="I15" s="26" t="n">
        <v>3335</v>
      </c>
      <c r="J15" s="25" t="n">
        <v>3</v>
      </c>
      <c r="K15" s="27">
        <f>IF(I15="","",I15*J15)</f>
        <v/>
      </c>
      <c r="L15" s="28" t="inlineStr">
        <is>
          <t>Booking 20/09, outros hotéis: Art Nouveau Palace 5★ € 812 · Hilton Old Town 5★ € 1.041 por 2 quartos/3 noites (5 pax)</t>
        </is>
      </c>
      <c r="M15" s="25" t="inlineStr">
        <is>
          <t>Sim</t>
        </is>
      </c>
      <c r="N15" s="29">
        <f>IF(OR(M15&lt;&gt;"Sim",I15=""),0,K15*IF(H15="BRL",1,IF(H15="EUR",Parâmetros!$B$4,IF(H15="USD",Parâmetros!$B$5,1))))</f>
        <v/>
      </c>
      <c r="O15" s="25" t="inlineStr">
        <is>
          <t>Cotado</t>
        </is>
      </c>
      <c r="P15" s="30" t="inlineStr">
        <is>
          <t>Cotação de 21/09: Suite Pretender R$ 5.680 + Queen Room R$ 4.325 = R$ 10.005 pelas 3 noites (R$ 3.335/noite). Suíte comporta 3. Escolhida para o total: boutique 5★ no coração da Cidade Velha, R$ 1.980 acima da Opção 2.</t>
        </is>
      </c>
    </row>
    <row r="16">
      <c r="A16" s="23" t="n">
        <v>12</v>
      </c>
      <c r="B16" s="23" t="inlineStr">
        <is>
          <t>Hotel</t>
        </is>
      </c>
      <c r="C16" s="24" t="inlineStr">
        <is>
          <t>Praga · Opção 2 · Century Old Town Prague, MGallery 4★</t>
        </is>
      </c>
      <c r="D16" s="23" t="inlineStr">
        <is>
          <t>Na Poříčí, prédio onde Kafka trabalhou, a 8 min da Praça da Cidade Velha · 1 Executive + 1 Classic Room · café da manhã · 3 noites</t>
        </is>
      </c>
      <c r="E16" s="23" t="inlineStr">
        <is>
          <t>07/01 → 10/01</t>
        </is>
      </c>
      <c r="F16" s="23" t="n">
        <v>5</v>
      </c>
      <c r="G16" s="25" t="inlineStr">
        <is>
          <t>Consolidador (a nomear)</t>
        </is>
      </c>
      <c r="H16" s="25" t="inlineStr">
        <is>
          <t>BRL</t>
        </is>
      </c>
      <c r="I16" s="26" t="n">
        <v>2675</v>
      </c>
      <c r="J16" s="25" t="n">
        <v>3</v>
      </c>
      <c r="K16" s="27">
        <f>IF(I16="","",I16*J16)</f>
        <v/>
      </c>
      <c r="L16" s="28" t="n"/>
      <c r="M16" s="25" t="inlineStr">
        <is>
          <t>Não</t>
        </is>
      </c>
      <c r="N16" s="29">
        <f>IF(OR(M16&lt;&gt;"Sim",I16=""),0,K16*IF(H16="BRL",1,IF(H16="EUR",Parâmetros!$B$4,IF(H16="USD",Parâmetros!$B$5,1))))</f>
        <v/>
      </c>
      <c r="O16" s="25" t="inlineStr">
        <is>
          <t>Cotado</t>
        </is>
      </c>
      <c r="P16" s="30" t="inlineStr">
        <is>
          <t>Cotação de 21/09: Executive R$ 4.645 + Classic R$ 3.380 = R$ 8.025 pelas 3 noites (R$ 2.675/noite). Suíte comporta 3.</t>
        </is>
      </c>
    </row>
    <row r="17">
      <c r="A17" s="23" t="n">
        <v>13</v>
      </c>
      <c r="B17" s="23" t="inlineStr">
        <is>
          <t>Hotel</t>
        </is>
      </c>
      <c r="C17" s="24" t="inlineStr">
        <is>
          <t>Paris · Opção 1 · Hôtel François 1er 4★</t>
        </is>
      </c>
      <c r="D17" s="23" t="inlineStr">
        <is>
          <t>Rue Magellan, 8º arr., a 2 min da Champs-Élysées · 1 Executive Room + 1 Classic Double · café da manhã · 2 noites</t>
        </is>
      </c>
      <c r="E17" s="23" t="inlineStr">
        <is>
          <t>10/01 → 12/01</t>
        </is>
      </c>
      <c r="F17" s="23" t="n">
        <v>5</v>
      </c>
      <c r="G17" s="25" t="inlineStr">
        <is>
          <t>Consolidador (a nomear)</t>
        </is>
      </c>
      <c r="H17" s="25" t="inlineStr">
        <is>
          <t>BRL</t>
        </is>
      </c>
      <c r="I17" s="26" t="n">
        <v>5587.5</v>
      </c>
      <c r="J17" s="25" t="n">
        <v>2</v>
      </c>
      <c r="K17" s="27">
        <f>IF(I17="","",I17*J17)</f>
        <v/>
      </c>
      <c r="L17" s="28" t="n"/>
      <c r="M17" s="25" t="inlineStr">
        <is>
          <t>Sim</t>
        </is>
      </c>
      <c r="N17" s="29">
        <f>IF(OR(M17&lt;&gt;"Sim",I17=""),0,K17*IF(H17="BRL",1,IF(H17="EUR",Parâmetros!$B$4,IF(H17="USD",Parâmetros!$B$5,1))))</f>
        <v/>
      </c>
      <c r="O17" s="25" t="inlineStr">
        <is>
          <t>Cotado</t>
        </is>
      </c>
      <c r="P17" s="30" t="inlineStr">
        <is>
          <t>Cotação de 21/09: Executive R$ 6.420 + Classic Double R$ 4.755 = R$ 11.175 pelas 2 noites (R$ 5.587,50/noite). Executive comporta 3: pais + filho, filhas no Classic.</t>
        </is>
      </c>
    </row>
    <row r="18">
      <c r="A18" s="23" t="n">
        <v>14</v>
      </c>
      <c r="B18" s="23" t="inlineStr">
        <is>
          <t>Hotel</t>
        </is>
      </c>
      <c r="C18" s="24" t="inlineStr">
        <is>
          <t>Paris · Opção 2 · Hotel Indigo Paris Opéra, IHG 4★</t>
        </is>
      </c>
      <c r="D18" s="23" t="inlineStr">
        <is>
          <t>Rue de Châteaudun, 9º arr., entre a Ópera Garnier e Montmartre · 1 Standard Queen triplo + 1 Standard Queen duplo · café da manhã · 2 noites</t>
        </is>
      </c>
      <c r="E18" s="23" t="inlineStr">
        <is>
          <t>10/01 → 12/01</t>
        </is>
      </c>
      <c r="F18" s="23" t="n">
        <v>5</v>
      </c>
      <c r="G18" s="25" t="inlineStr">
        <is>
          <t>Consolidador (a nomear)</t>
        </is>
      </c>
      <c r="H18" s="25" t="inlineStr">
        <is>
          <t>BRL</t>
        </is>
      </c>
      <c r="I18" s="26" t="n">
        <v>5715</v>
      </c>
      <c r="J18" s="25" t="n">
        <v>2</v>
      </c>
      <c r="K18" s="27">
        <f>IF(I18="","",I18*J18)</f>
        <v/>
      </c>
      <c r="L18" s="28" t="n"/>
      <c r="M18" s="25" t="inlineStr">
        <is>
          <t>Não</t>
        </is>
      </c>
      <c r="N18" s="29">
        <f>IF(OR(M18&lt;&gt;"Sim",I18=""),0,K18*IF(H18="BRL",1,IF(H18="EUR",Parâmetros!$B$4,IF(H18="USD",Parâmetros!$B$5,1))))</f>
        <v/>
      </c>
      <c r="O18" s="25" t="inlineStr">
        <is>
          <t>Cotado</t>
        </is>
      </c>
      <c r="P18" s="30" t="inlineStr">
        <is>
          <t>Cotação de 21/09: triplo R$ 6.730 + duplo R$ 4.700 = R$ 11.430 pelas 2 noites (R$ 5.715/noite). Triplo resolve pais + filho sem depender de confirmação.</t>
        </is>
      </c>
    </row>
    <row r="19">
      <c r="A19" s="23" t="n">
        <v>15</v>
      </c>
      <c r="B19" s="23" t="inlineStr">
        <is>
          <t>Trem</t>
        </is>
      </c>
      <c r="C19" s="24" t="inlineStr">
        <is>
          <t>Railjet Budapeste → Viena · 4 pax</t>
        </is>
      </c>
      <c r="D19" s="23" t="inlineStr">
        <is>
          <t>ÖBB RJX 62 · Budapest-Keleti 09:30 → Wien Hbf 12:20 · 2h50 · direto · 1ª classe · assentos marcados</t>
        </is>
      </c>
      <c r="E19" s="23" t="inlineStr">
        <is>
          <t>03/01</t>
        </is>
      </c>
      <c r="F19" s="23" t="n">
        <v>4</v>
      </c>
      <c r="G19" s="25" t="inlineStr">
        <is>
          <t>Consolidador (a nomear)</t>
        </is>
      </c>
      <c r="H19" s="25" t="inlineStr">
        <is>
          <t>BRL</t>
        </is>
      </c>
      <c r="I19" s="26" t="n">
        <v>302.5</v>
      </c>
      <c r="J19" s="25" t="n">
        <v>4</v>
      </c>
      <c r="K19" s="27">
        <f>IF(I19="","",I19*J19)</f>
        <v/>
      </c>
      <c r="L19" s="28" t="inlineStr"/>
      <c r="M19" s="25" t="inlineStr">
        <is>
          <t>Sim</t>
        </is>
      </c>
      <c r="N19" s="29">
        <f>IF(OR(M19&lt;&gt;"Sim",I19=""),0,K19*IF(H19="BRL",1,IF(H19="EUR",Parâmetros!$B$4,IF(H19="USD",Parâmetros!$B$5,1))))</f>
        <v/>
      </c>
      <c r="O19" s="25" t="inlineStr">
        <is>
          <t>Cotado</t>
        </is>
      </c>
      <c r="P19" s="30" t="inlineStr">
        <is>
          <t>Cotação de 21/09: R$ 1.210 para 4 pax (R$ 302,50/pax), 1ª classe.</t>
        </is>
      </c>
    </row>
    <row r="20">
      <c r="A20" s="23" t="n">
        <v>16</v>
      </c>
      <c r="B20" s="23" t="inlineStr">
        <is>
          <t>Trem</t>
        </is>
      </c>
      <c r="C20" s="24" t="inlineStr">
        <is>
          <t>Railjet Viena → Praga · 5 pax</t>
        </is>
      </c>
      <c r="D20" s="23" t="inlineStr">
        <is>
          <t>ÖBB RJ 252 · Wien Hbf 11:10 → Praha hlavní nádraží 15:23 · 4h13 · direto · 1ª classe · assentos marcados</t>
        </is>
      </c>
      <c r="E20" s="23" t="inlineStr">
        <is>
          <t>07/01</t>
        </is>
      </c>
      <c r="F20" s="23" t="n">
        <v>5</v>
      </c>
      <c r="G20" s="25" t="inlineStr">
        <is>
          <t>Consolidador (a nomear)</t>
        </is>
      </c>
      <c r="H20" s="25" t="inlineStr">
        <is>
          <t>BRL</t>
        </is>
      </c>
      <c r="I20" s="26" t="n">
        <v>381</v>
      </c>
      <c r="J20" s="25" t="n">
        <v>5</v>
      </c>
      <c r="K20" s="27">
        <f>IF(I20="","",I20*J20)</f>
        <v/>
      </c>
      <c r="L20" s="28" t="inlineStr"/>
      <c r="M20" s="25" t="inlineStr">
        <is>
          <t>Sim</t>
        </is>
      </c>
      <c r="N20" s="29">
        <f>IF(OR(M20&lt;&gt;"Sim",I20=""),0,K20*IF(H20="BRL",1,IF(H20="EUR",Parâmetros!$B$4,IF(H20="USD",Parâmetros!$B$5,1))))</f>
        <v/>
      </c>
      <c r="O20" s="25" t="inlineStr">
        <is>
          <t>Cotado</t>
        </is>
      </c>
      <c r="P20" s="30" t="inlineStr">
        <is>
          <t>Cotação de 21/09: R$ 1.905 para 5 pax (R$ 381/pax), 1ª classe.</t>
        </is>
      </c>
    </row>
    <row r="21">
      <c r="A21" s="23" t="n">
        <v>17</v>
      </c>
      <c r="B21" s="23" t="inlineStr">
        <is>
          <t>Transfer</t>
        </is>
      </c>
      <c r="C21" s="24" t="inlineStr">
        <is>
          <t>Budapeste · aeroporto → hotel · 4 pax</t>
        </is>
      </c>
      <c r="D21" s="23" t="inlineStr">
        <is>
          <t>Van privativa com recepção no desembarque</t>
        </is>
      </c>
      <c r="E21" s="23" t="inlineStr">
        <is>
          <t>30/12</t>
        </is>
      </c>
      <c r="F21" s="23" t="n">
        <v>4</v>
      </c>
      <c r="G21" s="25" t="inlineStr"/>
      <c r="H21" s="25" t="inlineStr">
        <is>
          <t>EUR</t>
        </is>
      </c>
      <c r="I21" s="26" t="n"/>
      <c r="J21" s="25" t="n">
        <v>1</v>
      </c>
      <c r="K21" s="27">
        <f>IF(I21="","",I21*J21)</f>
        <v/>
      </c>
      <c r="L21" s="28" t="inlineStr"/>
      <c r="M21" s="25" t="inlineStr">
        <is>
          <t>Sim</t>
        </is>
      </c>
      <c r="N21" s="29">
        <f>IF(OR(M21&lt;&gt;"Sim",I21=""),0,K21*IF(H21="BRL",1,IF(H21="EUR",Parâmetros!$B$4,IF(H21="USD",Parâmetros!$B$5,1))))</f>
        <v/>
      </c>
      <c r="O21" s="25" t="inlineStr">
        <is>
          <t>A cotar</t>
        </is>
      </c>
      <c r="P21" s="30" t="inlineStr">
        <is>
          <t>Valor unitário = por veículo.</t>
        </is>
      </c>
    </row>
    <row r="22">
      <c r="A22" s="23" t="n">
        <v>18</v>
      </c>
      <c r="B22" s="23" t="inlineStr">
        <is>
          <t>Transfer</t>
        </is>
      </c>
      <c r="C22" s="24" t="inlineStr">
        <is>
          <t>Budapeste · hotel → estação Keleti · 4 pax</t>
        </is>
      </c>
      <c r="D22" s="23" t="inlineStr">
        <is>
          <t>Carro ou van privativa</t>
        </is>
      </c>
      <c r="E22" s="23" t="inlineStr">
        <is>
          <t>03/01</t>
        </is>
      </c>
      <c r="F22" s="23" t="n">
        <v>4</v>
      </c>
      <c r="G22" s="25" t="inlineStr"/>
      <c r="H22" s="25" t="inlineStr">
        <is>
          <t>EUR</t>
        </is>
      </c>
      <c r="I22" s="26" t="n"/>
      <c r="J22" s="25" t="n">
        <v>1</v>
      </c>
      <c r="K22" s="27">
        <f>IF(I22="","",I22*J22)</f>
        <v/>
      </c>
      <c r="L22" s="28" t="inlineStr"/>
      <c r="M22" s="25" t="inlineStr">
        <is>
          <t>Sim</t>
        </is>
      </c>
      <c r="N22" s="29">
        <f>IF(OR(M22&lt;&gt;"Sim",I22=""),0,K22*IF(H22="BRL",1,IF(H22="EUR",Parâmetros!$B$4,IF(H22="USD",Parâmetros!$B$5,1))))</f>
        <v/>
      </c>
      <c r="O22" s="25" t="inlineStr">
        <is>
          <t>A cotar</t>
        </is>
      </c>
      <c r="P22" s="30" t="inlineStr"/>
    </row>
    <row r="23">
      <c r="A23" s="23" t="n">
        <v>19</v>
      </c>
      <c r="B23" s="23" t="inlineStr">
        <is>
          <t>Transfer</t>
        </is>
      </c>
      <c r="C23" s="24" t="inlineStr">
        <is>
          <t>Viena · estação Hbf → hotel · 4 pax</t>
        </is>
      </c>
      <c r="D23" s="23" t="inlineStr">
        <is>
          <t>Carro ou van privativa</t>
        </is>
      </c>
      <c r="E23" s="23" t="inlineStr">
        <is>
          <t>03/01</t>
        </is>
      </c>
      <c r="F23" s="23" t="n">
        <v>4</v>
      </c>
      <c r="G23" s="25" t="inlineStr"/>
      <c r="H23" s="25" t="inlineStr">
        <is>
          <t>EUR</t>
        </is>
      </c>
      <c r="I23" s="26" t="n"/>
      <c r="J23" s="25" t="n">
        <v>1</v>
      </c>
      <c r="K23" s="27">
        <f>IF(I23="","",I23*J23)</f>
        <v/>
      </c>
      <c r="L23" s="28" t="inlineStr"/>
      <c r="M23" s="25" t="inlineStr">
        <is>
          <t>Sim</t>
        </is>
      </c>
      <c r="N23" s="29">
        <f>IF(OR(M23&lt;&gt;"Sim",I23=""),0,K23*IF(H23="BRL",1,IF(H23="EUR",Parâmetros!$B$4,IF(H23="USD",Parâmetros!$B$5,1))))</f>
        <v/>
      </c>
      <c r="O23" s="25" t="inlineStr">
        <is>
          <t>A cotar</t>
        </is>
      </c>
      <c r="P23" s="30" t="inlineStr"/>
    </row>
    <row r="24">
      <c r="A24" s="23" t="n">
        <v>20</v>
      </c>
      <c r="B24" s="23" t="inlineStr">
        <is>
          <t>Transfer</t>
        </is>
      </c>
      <c r="C24" s="24" t="inlineStr">
        <is>
          <t>Viena · aeroporto → hotel · filho · 1 pax</t>
        </is>
      </c>
      <c r="D24" s="23" t="inlineStr">
        <is>
          <t>Motorista com placa no desembarque · reforçar: menor viajando só</t>
        </is>
      </c>
      <c r="E24" s="23" t="inlineStr">
        <is>
          <t>05/01</t>
        </is>
      </c>
      <c r="F24" s="23" t="n">
        <v>1</v>
      </c>
      <c r="G24" s="25" t="inlineStr"/>
      <c r="H24" s="25" t="inlineStr">
        <is>
          <t>EUR</t>
        </is>
      </c>
      <c r="I24" s="26" t="n"/>
      <c r="J24" s="25" t="n">
        <v>1</v>
      </c>
      <c r="K24" s="27">
        <f>IF(I24="","",I24*J24)</f>
        <v/>
      </c>
      <c r="L24" s="28" t="inlineStr"/>
      <c r="M24" s="25" t="inlineStr">
        <is>
          <t>Sim</t>
        </is>
      </c>
      <c r="N24" s="29">
        <f>IF(OR(M24&lt;&gt;"Sim",I24=""),0,K24*IF(H24="BRL",1,IF(H24="EUR",Parâmetros!$B$4,IF(H24="USD",Parâmetros!$B$5,1))))</f>
        <v/>
      </c>
      <c r="O24" s="25" t="inlineStr">
        <is>
          <t>A cotar</t>
        </is>
      </c>
      <c r="P24" s="30" t="inlineStr"/>
    </row>
    <row r="25">
      <c r="A25" s="23" t="n">
        <v>21</v>
      </c>
      <c r="B25" s="23" t="inlineStr">
        <is>
          <t>Transfer</t>
        </is>
      </c>
      <c r="C25" s="24" t="inlineStr">
        <is>
          <t>Viena · hotel → estação Hbf · 5 pax</t>
        </is>
      </c>
      <c r="D25" s="23" t="inlineStr">
        <is>
          <t>Van privativa</t>
        </is>
      </c>
      <c r="E25" s="23" t="inlineStr">
        <is>
          <t>07/01</t>
        </is>
      </c>
      <c r="F25" s="23" t="n">
        <v>5</v>
      </c>
      <c r="G25" s="25" t="inlineStr"/>
      <c r="H25" s="25" t="inlineStr">
        <is>
          <t>EUR</t>
        </is>
      </c>
      <c r="I25" s="26" t="n"/>
      <c r="J25" s="25" t="n">
        <v>1</v>
      </c>
      <c r="K25" s="27">
        <f>IF(I25="","",I25*J25)</f>
        <v/>
      </c>
      <c r="L25" s="28" t="inlineStr"/>
      <c r="M25" s="25" t="inlineStr">
        <is>
          <t>Sim</t>
        </is>
      </c>
      <c r="N25" s="29">
        <f>IF(OR(M25&lt;&gt;"Sim",I25=""),0,K25*IF(H25="BRL",1,IF(H25="EUR",Parâmetros!$B$4,IF(H25="USD",Parâmetros!$B$5,1))))</f>
        <v/>
      </c>
      <c r="O25" s="25" t="inlineStr">
        <is>
          <t>A cotar</t>
        </is>
      </c>
      <c r="P25" s="30" t="inlineStr"/>
    </row>
    <row r="26">
      <c r="A26" s="23" t="n">
        <v>22</v>
      </c>
      <c r="B26" s="23" t="inlineStr">
        <is>
          <t>Transfer</t>
        </is>
      </c>
      <c r="C26" s="24" t="inlineStr">
        <is>
          <t>Praga · estação hl.n. → hotel · 5 pax</t>
        </is>
      </c>
      <c r="D26" s="23" t="inlineStr">
        <is>
          <t>Van privativa</t>
        </is>
      </c>
      <c r="E26" s="23" t="inlineStr">
        <is>
          <t>07/01</t>
        </is>
      </c>
      <c r="F26" s="23" t="n">
        <v>5</v>
      </c>
      <c r="G26" s="25" t="inlineStr"/>
      <c r="H26" s="25" t="inlineStr">
        <is>
          <t>EUR</t>
        </is>
      </c>
      <c r="I26" s="26" t="n"/>
      <c r="J26" s="25" t="n">
        <v>1</v>
      </c>
      <c r="K26" s="27">
        <f>IF(I26="","",I26*J26)</f>
        <v/>
      </c>
      <c r="L26" s="28" t="inlineStr"/>
      <c r="M26" s="25" t="inlineStr">
        <is>
          <t>Sim</t>
        </is>
      </c>
      <c r="N26" s="29">
        <f>IF(OR(M26&lt;&gt;"Sim",I26=""),0,K26*IF(H26="BRL",1,IF(H26="EUR",Parâmetros!$B$4,IF(H26="USD",Parâmetros!$B$5,1))))</f>
        <v/>
      </c>
      <c r="O26" s="25" t="inlineStr">
        <is>
          <t>A cotar</t>
        </is>
      </c>
      <c r="P26" s="30" t="inlineStr"/>
    </row>
    <row r="27">
      <c r="A27" s="23" t="n">
        <v>23</v>
      </c>
      <c r="B27" s="23" t="inlineStr">
        <is>
          <t>Transfer</t>
        </is>
      </c>
      <c r="C27" s="24" t="inlineStr">
        <is>
          <t>Praga · hotel → aeroporto · 5 pax</t>
        </is>
      </c>
      <c r="D27" s="23" t="inlineStr">
        <is>
          <t>Van privativa</t>
        </is>
      </c>
      <c r="E27" s="23" t="inlineStr">
        <is>
          <t>10/01</t>
        </is>
      </c>
      <c r="F27" s="23" t="n">
        <v>5</v>
      </c>
      <c r="G27" s="25" t="inlineStr"/>
      <c r="H27" s="25" t="inlineStr">
        <is>
          <t>EUR</t>
        </is>
      </c>
      <c r="I27" s="26" t="n"/>
      <c r="J27" s="25" t="n">
        <v>1</v>
      </c>
      <c r="K27" s="27">
        <f>IF(I27="","",I27*J27)</f>
        <v/>
      </c>
      <c r="L27" s="28" t="inlineStr"/>
      <c r="M27" s="25" t="inlineStr">
        <is>
          <t>Sim</t>
        </is>
      </c>
      <c r="N27" s="29">
        <f>IF(OR(M27&lt;&gt;"Sim",I27=""),0,K27*IF(H27="BRL",1,IF(H27="EUR",Parâmetros!$B$4,IF(H27="USD",Parâmetros!$B$5,1))))</f>
        <v/>
      </c>
      <c r="O27" s="25" t="inlineStr">
        <is>
          <t>A cotar</t>
        </is>
      </c>
      <c r="P27" s="30" t="inlineStr"/>
    </row>
    <row r="28">
      <c r="A28" s="23" t="n">
        <v>24</v>
      </c>
      <c r="B28" s="23" t="inlineStr">
        <is>
          <t>Transfer</t>
        </is>
      </c>
      <c r="C28" s="24" t="inlineStr">
        <is>
          <t>Paris · CDG → hotel · 5 pax</t>
        </is>
      </c>
      <c r="D28" s="23" t="inlineStr">
        <is>
          <t>Van privativa</t>
        </is>
      </c>
      <c r="E28" s="23" t="inlineStr">
        <is>
          <t>10/01</t>
        </is>
      </c>
      <c r="F28" s="23" t="n">
        <v>5</v>
      </c>
      <c r="G28" s="25" t="inlineStr"/>
      <c r="H28" s="25" t="inlineStr">
        <is>
          <t>EUR</t>
        </is>
      </c>
      <c r="I28" s="26" t="n"/>
      <c r="J28" s="25" t="n">
        <v>1</v>
      </c>
      <c r="K28" s="27">
        <f>IF(I28="","",I28*J28)</f>
        <v/>
      </c>
      <c r="L28" s="28" t="inlineStr"/>
      <c r="M28" s="25" t="inlineStr">
        <is>
          <t>Sim</t>
        </is>
      </c>
      <c r="N28" s="29">
        <f>IF(OR(M28&lt;&gt;"Sim",I28=""),0,K28*IF(H28="BRL",1,IF(H28="EUR",Parâmetros!$B$4,IF(H28="USD",Parâmetros!$B$5,1))))</f>
        <v/>
      </c>
      <c r="O28" s="25" t="inlineStr">
        <is>
          <t>A cotar</t>
        </is>
      </c>
      <c r="P28" s="30" t="inlineStr"/>
    </row>
    <row r="29">
      <c r="A29" s="23" t="n">
        <v>25</v>
      </c>
      <c r="B29" s="23" t="inlineStr">
        <is>
          <t>Transfer</t>
        </is>
      </c>
      <c r="C29" s="24" t="inlineStr">
        <is>
          <t>Paris · hotel → CDG · 5 pax</t>
        </is>
      </c>
      <c r="D29" s="23" t="inlineStr">
        <is>
          <t>Van privativa</t>
        </is>
      </c>
      <c r="E29" s="23" t="inlineStr">
        <is>
          <t>12/01</t>
        </is>
      </c>
      <c r="F29" s="23" t="n">
        <v>5</v>
      </c>
      <c r="G29" s="25" t="inlineStr"/>
      <c r="H29" s="25" t="inlineStr">
        <is>
          <t>EUR</t>
        </is>
      </c>
      <c r="I29" s="26" t="n"/>
      <c r="J29" s="25" t="n">
        <v>1</v>
      </c>
      <c r="K29" s="27">
        <f>IF(I29="","",I29*J29)</f>
        <v/>
      </c>
      <c r="L29" s="28" t="inlineStr"/>
      <c r="M29" s="25" t="inlineStr">
        <is>
          <t>Sim</t>
        </is>
      </c>
      <c r="N29" s="29">
        <f>IF(OR(M29&lt;&gt;"Sim",I29=""),0,K29*IF(H29="BRL",1,IF(H29="EUR",Parâmetros!$B$4,IF(H29="USD",Parâmetros!$B$5,1))))</f>
        <v/>
      </c>
      <c r="O29" s="25" t="inlineStr">
        <is>
          <t>A cotar</t>
        </is>
      </c>
      <c r="P29" s="30" t="inlineStr"/>
    </row>
    <row r="30">
      <c r="A30" s="23" t="n">
        <v>26</v>
      </c>
      <c r="B30" s="23" t="inlineStr">
        <is>
          <t>Experiência</t>
        </is>
      </c>
      <c r="C30" s="24" t="inlineStr">
        <is>
          <t>Réveillon · Opção 1 · Silverline · jantar de gala em catamarã · 4 pax</t>
        </is>
      </c>
      <c r="D30" s="23" t="inlineStr">
        <is>
          <t>Cais 11, Ponte Elisabeth · embarque 20h, retorno 1h · welcome cocktail, jantar de 5 pratos, espumante, show de piano · Parlamento iluminado, brinde e fogos à meia-noite</t>
        </is>
      </c>
      <c r="E30" s="23" t="inlineStr">
        <is>
          <t>31/12</t>
        </is>
      </c>
      <c r="F30" s="23" t="n">
        <v>4</v>
      </c>
      <c r="G30" s="25" t="inlineStr">
        <is>
          <t>Silverline Cruises</t>
        </is>
      </c>
      <c r="H30" s="25" t="inlineStr">
        <is>
          <t>BRL</t>
        </is>
      </c>
      <c r="I30" s="26" t="n">
        <v>2146.59</v>
      </c>
      <c r="J30" s="25" t="n">
        <v>4</v>
      </c>
      <c r="K30" s="27">
        <f>IF(I30="","",I30*J30)</f>
        <v/>
      </c>
      <c r="L30" s="28" t="inlineStr">
        <is>
          <t>silver-line.hu/product/budapest-new-years-eve-dinner-cruise</t>
        </is>
      </c>
      <c r="M30" s="25" t="inlineStr">
        <is>
          <t>Sim</t>
        </is>
      </c>
      <c r="N30" s="29">
        <f>IF(OR(M30&lt;&gt;"Sim",I30=""),0,K30*IF(H30="BRL",1,IF(H30="EUR",Parâmetros!$B$4,IF(H30="USD",Parâmetros!$B$5,1))))</f>
        <v/>
      </c>
      <c r="O30" s="25" t="inlineStr">
        <is>
          <t>Cotado</t>
        </is>
      </c>
      <c r="P30" s="30" t="inlineStr">
        <is>
          <t>Valor por pessoa, conforme a página da Silverline em 21/09.</t>
        </is>
      </c>
    </row>
    <row r="31">
      <c r="A31" s="23" t="n">
        <v>27</v>
      </c>
      <c r="B31" s="23" t="inlineStr">
        <is>
          <t>Experiência</t>
        </is>
      </c>
      <c r="C31" s="24" t="inlineStr">
        <is>
          <t>Réveillon · Opção 2 · Budapest River Cruise · NYE Party Cruise · 4 pax</t>
        </is>
      </c>
      <c r="D31" s="23" t="inlineStr">
        <is>
          <t>Cais 8/8A, Ponte Elisabeth · embarque 19h, retorno 1h · jantar, música ao vivo e virada a bordo</t>
        </is>
      </c>
      <c r="E31" s="23" t="inlineStr">
        <is>
          <t>31/12</t>
        </is>
      </c>
      <c r="F31" s="23" t="n">
        <v>4</v>
      </c>
      <c r="G31" s="25" t="inlineStr">
        <is>
          <t>Budapest River Cruise</t>
        </is>
      </c>
      <c r="H31" s="25" t="inlineStr">
        <is>
          <t>BRL</t>
        </is>
      </c>
      <c r="I31" s="26" t="n">
        <v>2272.86</v>
      </c>
      <c r="J31" s="25" t="n">
        <v>4</v>
      </c>
      <c r="K31" s="27">
        <f>IF(I31="","",I31*J31)</f>
        <v/>
      </c>
      <c r="L31" s="28" t="inlineStr">
        <is>
          <t>budapestrivercruise.com/budapest-new-years-eve-cruise-party</t>
        </is>
      </c>
      <c r="M31" s="25" t="inlineStr">
        <is>
          <t>Não</t>
        </is>
      </c>
      <c r="N31" s="29">
        <f>IF(OR(M31&lt;&gt;"Sim",I31=""),0,K31*IF(H31="BRL",1,IF(H31="EUR",Parâmetros!$B$4,IF(H31="USD",Parâmetros!$B$5,1))))</f>
        <v/>
      </c>
      <c r="O31" s="25" t="inlineStr">
        <is>
          <t>Cotado</t>
        </is>
      </c>
      <c r="P31" s="30" t="inlineStr">
        <is>
          <t>Valor por pessoa, 6 horas a bordo (19h à 1h). Mais que o dobro da Opção 1 por pessoa. Confirmar preço de menor e o que o jantar inclui.</t>
        </is>
      </c>
    </row>
    <row r="32">
      <c r="A32" s="23" t="n">
        <v>28</v>
      </c>
      <c r="B32" s="23" t="inlineStr">
        <is>
          <t>Experiência</t>
        </is>
      </c>
      <c r="C32" s="24" t="inlineStr">
        <is>
          <t>Tokaj · motorista privativo · dia inteiro · 4 pax</t>
        </is>
      </c>
      <c r="D32" s="23" t="inlineStr">
        <is>
          <t>Saída 07:30 do InterContinental · Oremus (Tolcsva) · almoço · Disznókő (Mezőzombor) · retorno ~18:30 · ~11 horas, ~500 km</t>
        </is>
      </c>
      <c r="E32" s="23" t="inlineStr">
        <is>
          <t>02/01</t>
        </is>
      </c>
      <c r="F32" s="23" t="n">
        <v>4</v>
      </c>
      <c r="G32" s="25" t="inlineStr">
        <is>
          <t>A definir (Pickup Hungary, MoveFlow, Sweet Travel, Taste Hungary)</t>
        </is>
      </c>
      <c r="H32" s="25" t="inlineStr">
        <is>
          <t>BRL</t>
        </is>
      </c>
      <c r="I32" s="26" t="n"/>
      <c r="J32" s="25" t="n">
        <v>1</v>
      </c>
      <c r="K32" s="27">
        <f>IF(I32="","",I32*J32)</f>
        <v/>
      </c>
      <c r="L32" s="28" t="inlineStr"/>
      <c r="M32" s="25" t="inlineStr">
        <is>
          <t>Sim</t>
        </is>
      </c>
      <c r="N32" s="29">
        <f>IF(OR(M32&lt;&gt;"Sim",I32=""),0,K32*IF(H32="BRL",1,IF(H32="EUR",Parâmetros!$B$4,IF(H32="USD",Parâmetros!$B$5,1))))</f>
        <v/>
      </c>
      <c r="O32" s="25" t="inlineStr">
        <is>
          <t>A cotar</t>
        </is>
      </c>
      <c r="P32" s="30" t="inlineStr">
        <is>
          <t>Bate-volta. Motorista sem guia costuma sair bem abaixo do motorista-guia que veio caro. Referência: € 350 a 500 pelo dia.</t>
        </is>
      </c>
    </row>
    <row r="33">
      <c r="A33" s="23" t="n">
        <v>29</v>
      </c>
      <c r="B33" s="23" t="inlineStr">
        <is>
          <t>Experiência</t>
        </is>
      </c>
      <c r="C33" s="24" t="inlineStr">
        <is>
          <t>Oremus · visita à adega e prova · 2 adultos + 2 filhas</t>
        </is>
      </c>
      <c r="D33" s="23" t="inlineStr">
        <is>
          <t>Tolcsva · agendamento por e-mail · ~1h · adegas do século XIII · adolescentes acompanham sem álcool</t>
        </is>
      </c>
      <c r="E33" s="23" t="inlineStr">
        <is>
          <t>02/01</t>
        </is>
      </c>
      <c r="F33" s="23" t="n">
        <v>4</v>
      </c>
      <c r="G33" s="25" t="inlineStr">
        <is>
          <t>Tokaj-Oremus</t>
        </is>
      </c>
      <c r="H33" s="25" t="inlineStr">
        <is>
          <t>BRL</t>
        </is>
      </c>
      <c r="I33" s="26" t="n">
        <v>315.67</v>
      </c>
      <c r="J33" s="25" t="n">
        <v>1</v>
      </c>
      <c r="K33" s="27">
        <f>IF(I33="","",I33*J33)</f>
        <v/>
      </c>
      <c r="L33" s="28" t="inlineStr"/>
      <c r="M33" s="25" t="inlineStr">
        <is>
          <t>Sim</t>
        </is>
      </c>
      <c r="N33" s="29">
        <f>IF(OR(M33&lt;&gt;"Sim",I33=""),0,K33*IF(H33="BRL",1,IF(H33="EUR",Parâmetros!$B$4,IF(H33="USD",Parâmetros!$B$5,1))))</f>
        <v/>
      </c>
      <c r="O33" s="25" t="inlineStr">
        <is>
          <t>Cotado</t>
        </is>
      </c>
      <c r="P33" s="30" t="inlineStr">
        <is>
          <t>Cotação de 21/09 em reais para a família (2 adultos e 2 filhas). Confirmar recepção no sábado 02/01; plano B: segunda 04/01.</t>
        </is>
      </c>
    </row>
    <row r="34">
      <c r="A34" s="23" t="n">
        <v>30</v>
      </c>
      <c r="B34" s="23" t="inlineStr">
        <is>
          <t>Experiência</t>
        </is>
      </c>
      <c r="C34" s="24" t="inlineStr">
        <is>
          <t>Disznókő · visita e prova · 2 adultos + 2 filhas</t>
        </is>
      </c>
      <c r="D34" s="23" t="inlineStr">
        <is>
          <t>Mezőzombor, a 20 min de Tolcsva · vinícola do grupo AXA Millésimes · segunda parada da tarde</t>
        </is>
      </c>
      <c r="E34" s="23" t="inlineStr">
        <is>
          <t>02/01</t>
        </is>
      </c>
      <c r="F34" s="23" t="n">
        <v>4</v>
      </c>
      <c r="G34" s="25" t="inlineStr">
        <is>
          <t>Disznókő</t>
        </is>
      </c>
      <c r="H34" s="25" t="inlineStr">
        <is>
          <t>BRL</t>
        </is>
      </c>
      <c r="I34" s="26" t="n"/>
      <c r="J34" s="25" t="n">
        <v>1</v>
      </c>
      <c r="K34" s="27">
        <f>IF(I34="","",I34*J34)</f>
        <v/>
      </c>
      <c r="L34" s="28" t="n"/>
      <c r="M34" s="25" t="inlineStr">
        <is>
          <t>Sim</t>
        </is>
      </c>
      <c r="N34" s="29">
        <f>IF(OR(M34&lt;&gt;"Sim",I34=""),0,K34*IF(H34="BRL",1,IF(H34="EUR",Parâmetros!$B$4,IF(H34="USD",Parâmetros!$B$5,1))))</f>
        <v/>
      </c>
      <c r="O34" s="25" t="inlineStr">
        <is>
          <t>A cotar</t>
        </is>
      </c>
      <c r="P34" s="30" t="inlineStr">
        <is>
          <t>Aguardando valores da vinícola.</t>
        </is>
      </c>
    </row>
    <row r="35">
      <c r="A35" s="23" t="n">
        <v>31</v>
      </c>
      <c r="B35" s="23" t="inlineStr">
        <is>
          <t>Experiência</t>
        </is>
      </c>
      <c r="C35" s="24" t="inlineStr">
        <is>
          <t>Almoço em vinícola ou restaurante em Tokaj · 4 pax</t>
        </is>
      </c>
      <c r="D35" s="23" t="inlineStr">
        <is>
          <t>Mád ou Tarcal</t>
        </is>
      </c>
      <c r="E35" s="23" t="inlineStr">
        <is>
          <t>02/01</t>
        </is>
      </c>
      <c r="F35" s="23" t="n">
        <v>4</v>
      </c>
      <c r="G35" s="25" t="inlineStr"/>
      <c r="H35" s="25" t="inlineStr">
        <is>
          <t>EUR</t>
        </is>
      </c>
      <c r="I35" s="26" t="n"/>
      <c r="J35" s="25" t="n">
        <v>4</v>
      </c>
      <c r="K35" s="27">
        <f>IF(I35="","",I35*J35)</f>
        <v/>
      </c>
      <c r="L35" s="28" t="inlineStr"/>
      <c r="M35" s="25" t="inlineStr">
        <is>
          <t>Sim</t>
        </is>
      </c>
      <c r="N35" s="29">
        <f>IF(OR(M35&lt;&gt;"Sim",I35=""),0,K35*IF(H35="BRL",1,IF(H35="EUR",Parâmetros!$B$4,IF(H35="USD",Parâmetros!$B$5,1))))</f>
        <v/>
      </c>
      <c r="O35" s="25" t="inlineStr">
        <is>
          <t>A cotar</t>
        </is>
      </c>
      <c r="P35" s="30" t="inlineStr">
        <is>
          <t>Pode vir incluído no pacote do motorista-guia.</t>
        </is>
      </c>
    </row>
    <row r="36">
      <c r="A36" s="23" t="n">
        <v>32</v>
      </c>
      <c r="B36" s="23" t="inlineStr">
        <is>
          <t>Seguro/Docs</t>
        </is>
      </c>
      <c r="C36" s="24" t="inlineStr">
        <is>
          <t>Seguro viagem · 5 pax · 15 dias</t>
        </is>
      </c>
      <c r="D36" s="23" t="inlineStr">
        <is>
          <t>Plano 90 Essential · DMH USD 90.000 · 29/12 a 12/01</t>
        </is>
      </c>
      <c r="E36" s="23" t="inlineStr">
        <is>
          <t>29/12 → 12/01</t>
        </is>
      </c>
      <c r="F36" s="23" t="n">
        <v>5</v>
      </c>
      <c r="G36" s="25" t="inlineStr">
        <is>
          <t>31 Motivos</t>
        </is>
      </c>
      <c r="H36" s="25" t="inlineStr">
        <is>
          <t>BRL</t>
        </is>
      </c>
      <c r="I36" s="26" t="n">
        <v>300.6</v>
      </c>
      <c r="J36" s="25" t="n">
        <v>5</v>
      </c>
      <c r="K36" s="27">
        <f>IF(I36="","",I36*J36)</f>
        <v/>
      </c>
      <c r="L36" s="28" t="inlineStr"/>
      <c r="M36" s="25" t="inlineStr">
        <is>
          <t>Sim</t>
        </is>
      </c>
      <c r="N36" s="29">
        <f>IF(OR(M36&lt;&gt;"Sim",I36=""),0,K36*IF(H36="BRL",1,IF(H36="EUR",Parâmetros!$B$4,IF(H36="USD",Parâmetros!$B$5,1))))</f>
        <v/>
      </c>
      <c r="O36" s="25" t="inlineStr">
        <is>
          <t>Cotado</t>
        </is>
      </c>
      <c r="P36" s="30" t="inlineStr">
        <is>
          <t>Cotação de 21/09: R$ 1.503,00 para os 5 (R$ 300,60 por pessoa). Confirmar se a apólice do filho cobre desde o embarque dele em 04/01.</t>
        </is>
      </c>
    </row>
    <row r="37"/>
    <row r="38">
      <c r="C38" s="21" t="inlineStr">
        <is>
          <t>SUBTOTAL EM R$ (itens marcados como Sim)</t>
        </is>
      </c>
      <c r="N38" s="31">
        <f>SUM(N5:N36)</f>
        <v/>
      </c>
    </row>
    <row r="39">
      <c r="C39" s="12" t="inlineStr">
        <is>
          <t>Taxa de serviço LusaTravel</t>
        </is>
      </c>
      <c r="N39" s="13">
        <f>N38*Parâmetros!$B$10</f>
        <v/>
      </c>
    </row>
    <row r="40">
      <c r="A40" s="32" t="n"/>
      <c r="B40" s="32" t="n"/>
      <c r="C40" s="33" t="inlineStr">
        <is>
          <t>TOTAL PARA O CLIENTE</t>
        </is>
      </c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4">
        <f>N38+N39</f>
        <v/>
      </c>
      <c r="O40" s="32" t="n"/>
      <c r="P40" s="32" t="n"/>
    </row>
    <row r="41">
      <c r="C41" s="2" t="inlineStr">
        <is>
          <t>*Nada reservado, apenas cotado.</t>
        </is>
      </c>
    </row>
  </sheetData>
  <autoFilter ref="A4:P36"/>
  <dataValidations count="3">
    <dataValidation sqref="O5:O36" showDropDown="0" showInputMessage="0" showErrorMessage="0" allowBlank="1" type="list">
      <formula1>"A cotar,Cotado,Aprovado pelo cliente,Reservado,Descartado"</formula1>
    </dataValidation>
    <dataValidation sqref="M5:M36" showDropDown="0" showInputMessage="0" showErrorMessage="0" allowBlank="0" type="list">
      <formula1>"Sim,Não"</formula1>
    </dataValidation>
    <dataValidation sqref="H5:H36" showDropDown="0" showInputMessage="0" showErrorMessage="0" allowBlank="0" type="list">
      <formula1>"BRL,EUR,USD"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2026-09-20T21:14:44Z</dcterms:created>
  <dcterms:modified xsi:type="dcterms:W3CDTF">2026-09-30T15:34:59Z</dcterms:modified>
</cp:coreProperties>
</file>