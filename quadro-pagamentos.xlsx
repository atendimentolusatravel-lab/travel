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de Pagamentos" sheetId="1" state="visible" r:id="rId3"/>
  </sheets>
  <definedNames>
    <definedName function="false" hidden="true" localSheetId="0" name="_xlnm._FilterDatabase" vbProcedure="false">'Quadro de Pagamentos'!$A$3:$F$16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<sst xmlns="http://schemas.openxmlformats.org/spreadsheetml/2006/main" count="38" uniqueCount="27">
  <si>
    <t xml:space="preserve">Quadro de Pagamentos</t>
  </si>
  <si>
    <t xml:space="preserve">Descrição</t>
  </si>
  <si>
    <t xml:space="preserve">Forma</t>
  </si>
  <si>
    <t xml:space="preserve">Parcela</t>
  </si>
  <si>
    <t xml:space="preserve">Vencimento</t>
  </si>
  <si>
    <t xml:space="preserve">Pagamento</t>
  </si>
  <si>
    <t xml:space="preserve">Valor</t>
  </si>
  <si>
    <t xml:space="preserve">Aéreo Gru - Dubai - Tokyo - Gru</t>
  </si>
  <si>
    <t xml:space="preserve">[Cartão de Crédito]</t>
  </si>
  <si>
    <t xml:space="preserve">Hotel dubai</t>
  </si>
  <si>
    <t xml:space="preserve">Hotel tokyo</t>
  </si>
  <si>
    <t xml:space="preserve">Hotel Hakone</t>
  </si>
  <si>
    <t xml:space="preserve">5 dias de guia</t>
  </si>
  <si>
    <t xml:space="preserve">[Pix]</t>
  </si>
  <si>
    <t xml:space="preserve">Hotel Uno - Naoshima</t>
  </si>
  <si>
    <t xml:space="preserve">Hotel Osaka</t>
  </si>
  <si>
    <t xml:space="preserve">Aéreo interno Osaka - Okinawa - Osaka</t>
  </si>
  <si>
    <t xml:space="preserve">Hotel Hiroshima</t>
  </si>
  <si>
    <t xml:space="preserve">Hotel Kyoto</t>
  </si>
  <si>
    <t xml:space="preserve">Hotel Tokyo Saída</t>
  </si>
  <si>
    <t xml:space="preserve">Hotel Okinawa</t>
  </si>
  <si>
    <t xml:space="preserve">Transfer in e out tokyo</t>
  </si>
  <si>
    <t xml:space="preserve">Total</t>
  </si>
  <si>
    <t xml:space="preserve">Resumo por forma de pagamento</t>
  </si>
  <si>
    <t xml:space="preserve">Cartão de Crédito</t>
  </si>
  <si>
    <t xml:space="preserve">Pix</t>
  </si>
  <si>
    <t xml:space="preserve">Fonte: quadro de pagamentos informado pelo cliente. Valores em BRL (R$).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</si>
</sst>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;\-#,##0.00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2"/>
      <color rgb="FF333333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08D57"/>
        <bgColor rgb="FF808080"/>
      </patternFill>
    </fill>
    <fill>
      <patternFill patternType="solid">
        <fgColor rgb="FFF5F5F5"/>
        <bgColor rgb="FFFFFFFF"/>
      </patternFill>
    </fill>
    <fill>
      <patternFill patternType="solid">
        <fgColor rgb="FFEDE3D3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B08D5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B08D57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E3D3"/>
      <rgbColor rgb="FF3366FF"/>
      <rgbColor rgb="FF33CCCC"/>
      <rgbColor rgb="FF99CC00"/>
      <rgbColor rgb="FFFFCC00"/>
      <rgbColor rgb="FFFF9900"/>
      <rgbColor rgb="FFFF6600"/>
      <rgbColor rgb="FF666699"/>
      <rgbColor rgb="FFB08D5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6" min="4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 customFormat="false" ht="19.5" hidden="false" customHeight="true" outlineLevel="0" collapsed="false">
      <c r="A4" s="5" t="s">
        <v>7</v>
      </c>
      <c r="B4" s="5" t="s">
        <v>8</v>
      </c>
      <c r="C4" s="6" t="n">
        <v>1</v>
      </c>
      <c r="D4" s="7" t="n">
        <v>45918</v>
      </c>
      <c r="E4" s="7" t="n">
        <v>46074</v>
      </c>
      <c r="F4" s="8" t="n">
        <v>55941.32</v>
      </c>
    </row>
    <row r="5" customFormat="false" ht="19.5" hidden="false" customHeight="true" outlineLevel="0" collapsed="false">
      <c r="A5" s="9" t="s">
        <v>9</v>
      </c>
      <c r="B5" s="9" t="s">
        <v>8</v>
      </c>
      <c r="C5" s="10" t="n">
        <v>1</v>
      </c>
      <c r="D5" s="11" t="n">
        <v>46053</v>
      </c>
      <c r="E5" s="11" t="n">
        <v>46074</v>
      </c>
      <c r="F5" s="12" t="n">
        <v>3898.63</v>
      </c>
    </row>
    <row r="6" customFormat="false" ht="19.5" hidden="false" customHeight="true" outlineLevel="0" collapsed="false">
      <c r="A6" s="5" t="s">
        <v>10</v>
      </c>
      <c r="B6" s="5" t="s">
        <v>8</v>
      </c>
      <c r="C6" s="6" t="n">
        <v>1</v>
      </c>
      <c r="D6" s="7" t="n">
        <v>46053</v>
      </c>
      <c r="E6" s="7" t="n">
        <v>46074</v>
      </c>
      <c r="F6" s="8" t="n">
        <v>13123.12</v>
      </c>
    </row>
    <row r="7" customFormat="false" ht="19.5" hidden="false" customHeight="true" outlineLevel="0" collapsed="false">
      <c r="A7" s="9" t="s">
        <v>11</v>
      </c>
      <c r="B7" s="9" t="s">
        <v>8</v>
      </c>
      <c r="C7" s="10" t="n">
        <v>1</v>
      </c>
      <c r="D7" s="11" t="n">
        <v>46053</v>
      </c>
      <c r="E7" s="11" t="n">
        <v>46074</v>
      </c>
      <c r="F7" s="12" t="n">
        <v>3956.76</v>
      </c>
    </row>
    <row r="8" customFormat="false" ht="19.5" hidden="false" customHeight="true" outlineLevel="0" collapsed="false">
      <c r="A8" s="5" t="s">
        <v>12</v>
      </c>
      <c r="B8" s="5" t="s">
        <v>13</v>
      </c>
      <c r="C8" s="6" t="n">
        <v>1</v>
      </c>
      <c r="D8" s="7" t="n">
        <v>46056</v>
      </c>
      <c r="E8" s="7" t="n">
        <v>46074</v>
      </c>
      <c r="F8" s="8" t="n">
        <v>13728.6</v>
      </c>
    </row>
    <row r="9" customFormat="false" ht="19.5" hidden="false" customHeight="true" outlineLevel="0" collapsed="false">
      <c r="A9" s="9" t="s">
        <v>14</v>
      </c>
      <c r="B9" s="9" t="s">
        <v>8</v>
      </c>
      <c r="C9" s="10" t="n">
        <v>1</v>
      </c>
      <c r="D9" s="11" t="n">
        <v>46056</v>
      </c>
      <c r="E9" s="11" t="n">
        <v>46074</v>
      </c>
      <c r="F9" s="12" t="n">
        <v>3719.26</v>
      </c>
    </row>
    <row r="10" customFormat="false" ht="19.5" hidden="false" customHeight="true" outlineLevel="0" collapsed="false">
      <c r="A10" s="5" t="s">
        <v>15</v>
      </c>
      <c r="B10" s="5" t="s">
        <v>8</v>
      </c>
      <c r="C10" s="6" t="n">
        <v>1</v>
      </c>
      <c r="D10" s="7" t="n">
        <v>46056</v>
      </c>
      <c r="E10" s="7" t="n">
        <v>46074</v>
      </c>
      <c r="F10" s="8" t="n">
        <v>2557.63</v>
      </c>
    </row>
    <row r="11" customFormat="false" ht="19.5" hidden="false" customHeight="true" outlineLevel="0" collapsed="false">
      <c r="A11" s="9" t="s">
        <v>16</v>
      </c>
      <c r="B11" s="9" t="s">
        <v>8</v>
      </c>
      <c r="C11" s="10" t="n">
        <v>1</v>
      </c>
      <c r="D11" s="11" t="n">
        <v>46056</v>
      </c>
      <c r="E11" s="11" t="n">
        <v>46074</v>
      </c>
      <c r="F11" s="12" t="n">
        <v>2846.18</v>
      </c>
    </row>
    <row r="12" customFormat="false" ht="19.5" hidden="false" customHeight="true" outlineLevel="0" collapsed="false">
      <c r="A12" s="5" t="s">
        <v>17</v>
      </c>
      <c r="B12" s="5" t="s">
        <v>8</v>
      </c>
      <c r="C12" s="6" t="n">
        <v>1</v>
      </c>
      <c r="D12" s="7" t="n">
        <v>46056</v>
      </c>
      <c r="E12" s="7" t="n">
        <v>46074</v>
      </c>
      <c r="F12" s="8" t="n">
        <v>2099.58</v>
      </c>
    </row>
    <row r="13" customFormat="false" ht="19.5" hidden="false" customHeight="true" outlineLevel="0" collapsed="false">
      <c r="A13" s="9" t="s">
        <v>18</v>
      </c>
      <c r="B13" s="9" t="s">
        <v>8</v>
      </c>
      <c r="C13" s="10" t="n">
        <v>1</v>
      </c>
      <c r="D13" s="11" t="n">
        <v>46056</v>
      </c>
      <c r="E13" s="11" t="n">
        <v>46074</v>
      </c>
      <c r="F13" s="12" t="n">
        <v>5540.14</v>
      </c>
    </row>
    <row r="14" customFormat="false" ht="19.5" hidden="false" customHeight="true" outlineLevel="0" collapsed="false">
      <c r="A14" s="5" t="s">
        <v>19</v>
      </c>
      <c r="B14" s="5" t="s">
        <v>8</v>
      </c>
      <c r="C14" s="6" t="n">
        <v>1</v>
      </c>
      <c r="D14" s="7" t="n">
        <v>46056</v>
      </c>
      <c r="E14" s="7" t="n">
        <v>46074</v>
      </c>
      <c r="F14" s="8" t="n">
        <v>2717.43</v>
      </c>
    </row>
    <row r="15" customFormat="false" ht="19.5" hidden="false" customHeight="true" outlineLevel="0" collapsed="false">
      <c r="A15" s="9" t="s">
        <v>20</v>
      </c>
      <c r="B15" s="9" t="s">
        <v>8</v>
      </c>
      <c r="C15" s="10" t="n">
        <v>1</v>
      </c>
      <c r="D15" s="11" t="n">
        <v>46056</v>
      </c>
      <c r="E15" s="11" t="n">
        <v>46074</v>
      </c>
      <c r="F15" s="12" t="n">
        <v>4207.37</v>
      </c>
    </row>
    <row r="16" customFormat="false" ht="19.5" hidden="false" customHeight="true" outlineLevel="0" collapsed="false">
      <c r="A16" s="5" t="s">
        <v>21</v>
      </c>
      <c r="B16" s="5" t="s">
        <v>8</v>
      </c>
      <c r="C16" s="6" t="n">
        <v>1</v>
      </c>
      <c r="D16" s="7" t="n">
        <v>46056</v>
      </c>
      <c r="E16" s="7" t="n">
        <v>46074</v>
      </c>
      <c r="F16" s="8" t="n">
        <v>1124.17</v>
      </c>
    </row>
    <row r="17" customFormat="false" ht="21.75" hidden="false" customHeight="true" outlineLevel="0" collapsed="false">
      <c r="A17" s="13" t="s">
        <v>22</v>
      </c>
      <c r="B17" s="13"/>
      <c r="C17" s="13"/>
      <c r="D17" s="13"/>
      <c r="E17" s="13"/>
      <c r="F17" s="14" t="n">
        <f aca="false">SUM(F4:F16)</f>
        <v>115460.19</v>
      </c>
    </row>
    <row r="20" customFormat="false" ht="15" hidden="false" customHeight="false" outlineLevel="0" collapsed="false">
      <c r="A20" s="15" t="s">
        <v>23</v>
      </c>
    </row>
    <row r="21" customFormat="false" ht="15" hidden="false" customHeight="false" outlineLevel="0" collapsed="false">
      <c r="A21" s="16" t="s">
        <v>24</v>
      </c>
      <c r="F21" s="17" t="n">
        <f aca="false">SUMIF($B$4:$B$16,"[Cartão de Crédito]",$F$4:$F$16)</f>
        <v>101731.59</v>
      </c>
    </row>
    <row r="22" customFormat="false" ht="15" hidden="false" customHeight="false" outlineLevel="0" collapsed="false">
      <c r="A22" s="16" t="s">
        <v>25</v>
      </c>
      <c r="F22" s="17" t="n">
        <f aca="false">SUMIF($B$4:$B$16,"[Pix]",$F$4:$F$16)</f>
        <v>13728.6</v>
      </c>
    </row>
    <row r="24" customFormat="false" ht="15" hidden="false" customHeight="false" outlineLevel="0" collapsed="false">
      <c r="A24" s="18" t="s">
        <v>26</v>
      </c>
    </row>
  </sheetData>
  <autoFilter ref="A3:F16"/>
  <mergeCells count="1">
    <mergeCell ref="A1:F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2026-08-06T02:09:18Z</dcterms:created>
  <dc:creator>openpyxl</dc:creator>
  <dc:description/>
  <dc:language>en-US</dc:language>
  <cp:lastModifiedBy/>
  <dcterms:modified xsi:type="dcterms:W3CDTF">2026-08-06T02:09:18Z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